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892" activeTab="3"/>
  </bookViews>
  <sheets>
    <sheet name="全国暖通、空调室外气象参数表《GB50736-2012》 " sheetId="49" r:id="rId1"/>
    <sheet name="1-室外设计气象参数" sheetId="27" r:id="rId2"/>
    <sheet name="2-室内房间参数" sheetId="52" r:id="rId3"/>
    <sheet name="3-洁净区(参数展示）" sheetId="30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3" hidden="1">'3-洁净区(参数展示）'!$L$2:$L$133</definedName>
    <definedName name="_xlnm._FilterDatabase" localSheetId="0" hidden="1">'全国暖通、空调室外气象参数表《GB50736-2012》 '!$S$3:$V$3</definedName>
    <definedName name="_xlnm.Print_Area" localSheetId="1">'1-室外设计气象参数'!$A$2:$H$59</definedName>
    <definedName name="_xlnm.Print_Area" localSheetId="2">'2-室内房间参数'!$A$2:$AC$13</definedName>
    <definedName name="_xlnm.Print_Area" localSheetId="3">'3-洁净区(参数展示）'!$A$2:$N$124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<sst xmlns="http://schemas.openxmlformats.org/spreadsheetml/2006/main" count="4551" uniqueCount="2418">
  <si>
    <r>
      <rPr>
        <sz val="28"/>
        <rFont val="楷体_GB2312"/>
        <charset val="134"/>
      </rPr>
      <t>全国</t>
    </r>
    <r>
      <rPr>
        <sz val="28"/>
        <rFont val="楷体_GB2312"/>
        <charset val="134"/>
      </rPr>
      <t>民用建筑供暖通风与空气调节设计规范《GB50736-2012》</t>
    </r>
    <r>
      <rPr>
        <sz val="28"/>
        <rFont val="仿宋_GB2312"/>
        <charset val="134"/>
      </rPr>
      <t xml:space="preserve">   附录A  </t>
    </r>
    <r>
      <rPr>
        <sz val="28"/>
        <rFont val="楷体_GB2312"/>
        <charset val="134"/>
      </rPr>
      <t xml:space="preserve">室外气象参数 </t>
    </r>
    <r>
      <rPr>
        <sz val="20"/>
        <rFont val="仿宋_GB2312"/>
        <charset val="134"/>
      </rPr>
      <t xml:space="preserve">     </t>
    </r>
    <r>
      <rPr>
        <sz val="20"/>
        <rFont val="楷体_GB2312"/>
        <charset val="134"/>
      </rPr>
      <t>2012-12-08日编制於北京</t>
    </r>
  </si>
  <si>
    <t>省份</t>
  </si>
  <si>
    <t>城市名称</t>
  </si>
  <si>
    <t>站台名称</t>
  </si>
  <si>
    <t>台站位置</t>
  </si>
  <si>
    <t>统计年份</t>
  </si>
  <si>
    <t>年平均温度（℃)</t>
  </si>
  <si>
    <t>室外计算温、湿度(℃)</t>
  </si>
  <si>
    <r>
      <rPr>
        <sz val="18"/>
        <rFont val="楷体_GB2312"/>
        <charset val="134"/>
      </rPr>
      <t xml:space="preserve">室外风向、风速及频率                  </t>
    </r>
    <r>
      <rPr>
        <sz val="16"/>
        <rFont val="楷体_GB2312"/>
        <charset val="134"/>
      </rPr>
      <t xml:space="preserve"> </t>
    </r>
    <r>
      <rPr>
        <sz val="16"/>
        <rFont val="宋体"/>
        <charset val="134"/>
      </rPr>
      <t xml:space="preserve">                </t>
    </r>
    <r>
      <rPr>
        <sz val="12"/>
        <rFont val="楷体_GB2312"/>
        <charset val="134"/>
      </rPr>
      <t>注明：E-东；东风。S-南；南风。W-西；西风。N-北；北风。C-静风。</t>
    </r>
  </si>
  <si>
    <t>冬季日照百分率(%)</t>
  </si>
  <si>
    <t>最大冻土深度（㎝)</t>
  </si>
  <si>
    <t>大气压力（hPa)</t>
  </si>
  <si>
    <t>设计计算用供暖期天数及其平均温度</t>
  </si>
  <si>
    <t>极端最高温度（℃)</t>
  </si>
  <si>
    <t>极端最低温度（℃)</t>
  </si>
  <si>
    <t>北纬</t>
  </si>
  <si>
    <t>东经</t>
  </si>
  <si>
    <t>海拔（m)</t>
  </si>
  <si>
    <t>冬季</t>
  </si>
  <si>
    <t>夏季</t>
  </si>
  <si>
    <t xml:space="preserve">夏季 </t>
  </si>
  <si>
    <t>年最多风向</t>
  </si>
  <si>
    <t>年最多风向的频率(%)</t>
  </si>
  <si>
    <t xml:space="preserve"> 冬季</t>
  </si>
  <si>
    <t>日平均温度≤+5℃的天数</t>
  </si>
  <si>
    <t>日平均温度≤+5℃的起止日期</t>
  </si>
  <si>
    <t>平均温度≤+5℃期间内的平均温度（℃)</t>
  </si>
  <si>
    <t>日平均温度≤+8℃的天数</t>
  </si>
  <si>
    <t>日平均温度≤+8℃的起止日期</t>
  </si>
  <si>
    <t>平均温度≤+8℃期间内的平均温度（℃)</t>
  </si>
  <si>
    <t>供暖(℃)</t>
  </si>
  <si>
    <t>通风(℃)</t>
  </si>
  <si>
    <t>空调(℃)</t>
  </si>
  <si>
    <t>空调相对湿度(%)</t>
  </si>
  <si>
    <t>空气调节干球温度(℃)</t>
  </si>
  <si>
    <t>空气调节室外计算湿球温度(℃）</t>
  </si>
  <si>
    <t>通风计算温度(℃）</t>
  </si>
  <si>
    <t>通风计算相对湿度(%)</t>
  </si>
  <si>
    <t>空气调节室外计算日平均温度(℃</t>
  </si>
  <si>
    <t>平均风速（m/s）</t>
  </si>
  <si>
    <t>最多风向</t>
  </si>
  <si>
    <t>最多风向的频率(%)</t>
  </si>
  <si>
    <t>最多风向的平均风速（m/s）</t>
  </si>
  <si>
    <t>北京</t>
  </si>
  <si>
    <t>北京5411</t>
  </si>
  <si>
    <t>39°48′</t>
  </si>
  <si>
    <t>116°28′</t>
  </si>
  <si>
    <t>1971-2000</t>
  </si>
  <si>
    <t>C   SW</t>
  </si>
  <si>
    <t>18   10</t>
  </si>
  <si>
    <t>C   N</t>
  </si>
  <si>
    <t xml:space="preserve">19  12   </t>
  </si>
  <si>
    <t>C  SW</t>
  </si>
  <si>
    <t>17   10</t>
  </si>
  <si>
    <t>11.12--03.14</t>
  </si>
  <si>
    <t>11.04--03.27</t>
  </si>
  <si>
    <t>天津</t>
  </si>
  <si>
    <t>天津54527</t>
  </si>
  <si>
    <t>39°05′</t>
  </si>
  <si>
    <t>117°04′</t>
  </si>
  <si>
    <t>C    S</t>
  </si>
  <si>
    <t>15   9</t>
  </si>
  <si>
    <t>20  11</t>
  </si>
  <si>
    <t>16   9</t>
  </si>
  <si>
    <t>11.13--03.13</t>
  </si>
  <si>
    <t>11.06--03.27</t>
  </si>
  <si>
    <t>塘沽</t>
  </si>
  <si>
    <t>塘沽54623</t>
  </si>
  <si>
    <t>39°00′</t>
  </si>
  <si>
    <t>117°43′</t>
  </si>
  <si>
    <t>SSE</t>
  </si>
  <si>
    <t>NNW</t>
  </si>
  <si>
    <t>11.15--03.16</t>
  </si>
  <si>
    <t>11.07--03.29</t>
  </si>
  <si>
    <t>河北省</t>
  </si>
  <si>
    <t>石家庄</t>
  </si>
  <si>
    <t>石家庄53698</t>
  </si>
  <si>
    <t>38°02′</t>
  </si>
  <si>
    <t>114°25′</t>
  </si>
  <si>
    <t>26   13</t>
  </si>
  <si>
    <t>C   NNE</t>
  </si>
  <si>
    <t>25  12</t>
  </si>
  <si>
    <t>C   S</t>
  </si>
  <si>
    <t>25   12</t>
  </si>
  <si>
    <t>11.15--03.05</t>
  </si>
  <si>
    <t>11.07--03.26</t>
  </si>
  <si>
    <t>唐山</t>
  </si>
  <si>
    <t>唐山54534</t>
  </si>
  <si>
    <t>39°40′</t>
  </si>
  <si>
    <t>118°09′</t>
  </si>
  <si>
    <t>C   ESE</t>
  </si>
  <si>
    <t>14   11</t>
  </si>
  <si>
    <t>C   WNW</t>
  </si>
  <si>
    <t>22   11</t>
  </si>
  <si>
    <t>17   18</t>
  </si>
  <si>
    <t>11.10--03.19</t>
  </si>
  <si>
    <t>11.04--03.29</t>
  </si>
  <si>
    <t>邢台</t>
  </si>
  <si>
    <t>邢台53798</t>
  </si>
  <si>
    <t>37°04′</t>
  </si>
  <si>
    <t>114°30′</t>
  </si>
  <si>
    <t>C    SSW</t>
  </si>
  <si>
    <t>23   13</t>
  </si>
  <si>
    <t>27   10</t>
  </si>
  <si>
    <t>C  SSW</t>
  </si>
  <si>
    <t>24   13</t>
  </si>
  <si>
    <t>11.19--03.03</t>
  </si>
  <si>
    <t>11.08--03.16</t>
  </si>
  <si>
    <t>保定</t>
  </si>
  <si>
    <t>保定54602</t>
  </si>
  <si>
    <t>38°51′</t>
  </si>
  <si>
    <t>115°31′</t>
  </si>
  <si>
    <t>18   14</t>
  </si>
  <si>
    <t>23   12</t>
  </si>
  <si>
    <t>19   14</t>
  </si>
  <si>
    <t>11.13--03.11</t>
  </si>
  <si>
    <t>11.05--03.27</t>
  </si>
  <si>
    <t>张家口</t>
  </si>
  <si>
    <t>张家口54401</t>
  </si>
  <si>
    <t>40°47′</t>
  </si>
  <si>
    <t>114°53′</t>
  </si>
  <si>
    <t>C    SE</t>
  </si>
  <si>
    <t>19   15</t>
  </si>
  <si>
    <t>N</t>
  </si>
  <si>
    <t>11.03--03.28</t>
  </si>
  <si>
    <t>10.20--04.05</t>
  </si>
  <si>
    <t>承德</t>
  </si>
  <si>
    <t>承德54423</t>
  </si>
  <si>
    <t>40°58′</t>
  </si>
  <si>
    <t>117°56′</t>
  </si>
  <si>
    <t>C   SSW</t>
  </si>
  <si>
    <t>61  6</t>
  </si>
  <si>
    <t>C   NW</t>
  </si>
  <si>
    <t>66   10</t>
  </si>
  <si>
    <t>C  NW</t>
  </si>
  <si>
    <t>61   6</t>
  </si>
  <si>
    <t>11.03--03.27</t>
  </si>
  <si>
    <t>10.21--04.04</t>
  </si>
  <si>
    <t>秦皇岛</t>
  </si>
  <si>
    <t>秦皇岛54449</t>
  </si>
  <si>
    <t>39°56′</t>
  </si>
  <si>
    <t>119°36′</t>
  </si>
  <si>
    <t>C    WSW</t>
  </si>
  <si>
    <t>19   10</t>
  </si>
  <si>
    <t>C  WNW</t>
  </si>
  <si>
    <t>19   13</t>
  </si>
  <si>
    <t>11.12--03.26</t>
  </si>
  <si>
    <t>11.04--04.05</t>
  </si>
  <si>
    <t>沧州</t>
  </si>
  <si>
    <t>沧州54616</t>
  </si>
  <si>
    <t>38°20′</t>
  </si>
  <si>
    <t>116°50′</t>
  </si>
  <si>
    <t>1971-1995</t>
  </si>
  <si>
    <t>SW</t>
  </si>
  <si>
    <t>11.15--03.12</t>
  </si>
  <si>
    <t>11.07--03.27</t>
  </si>
  <si>
    <t>廊坊</t>
  </si>
  <si>
    <t>霸州54518</t>
  </si>
  <si>
    <t>39°07′</t>
  </si>
  <si>
    <t>116°23′</t>
  </si>
  <si>
    <t>C    SW</t>
  </si>
  <si>
    <t>12    9</t>
  </si>
  <si>
    <t>C   NE</t>
  </si>
  <si>
    <t>19   11</t>
  </si>
  <si>
    <t>14  10</t>
  </si>
  <si>
    <t>11.11--03.14</t>
  </si>
  <si>
    <t>衡水</t>
  </si>
  <si>
    <t>饶阳54606</t>
  </si>
  <si>
    <t>38°14′</t>
  </si>
  <si>
    <t>115°44′</t>
  </si>
  <si>
    <t>15   11</t>
  </si>
  <si>
    <t>19   9</t>
  </si>
  <si>
    <t>15  11</t>
  </si>
  <si>
    <t>11.12--03.13</t>
  </si>
  <si>
    <t>山西省</t>
  </si>
  <si>
    <t>太原</t>
  </si>
  <si>
    <t>太原53772</t>
  </si>
  <si>
    <t>37°47′</t>
  </si>
  <si>
    <t>112°33′</t>
  </si>
  <si>
    <t>30  10</t>
  </si>
  <si>
    <t xml:space="preserve">30  13 </t>
  </si>
  <si>
    <t>29   11</t>
  </si>
  <si>
    <t>10.06--03.26</t>
  </si>
  <si>
    <t>10.23--03.31</t>
  </si>
  <si>
    <t>大同</t>
  </si>
  <si>
    <t>大同53487</t>
  </si>
  <si>
    <t>40°06′</t>
  </si>
  <si>
    <t>113°20′</t>
  </si>
  <si>
    <t>C  NNE</t>
  </si>
  <si>
    <t>17  12</t>
  </si>
  <si>
    <t xml:space="preserve">N  </t>
  </si>
  <si>
    <t>16   15</t>
  </si>
  <si>
    <t>10.24--04.04</t>
  </si>
  <si>
    <t>10.14--04.14</t>
  </si>
  <si>
    <t>阳泉</t>
  </si>
  <si>
    <t>阳泉53782</t>
  </si>
  <si>
    <t>37°51′</t>
  </si>
  <si>
    <t>113°33′</t>
  </si>
  <si>
    <t>C   ENE</t>
  </si>
  <si>
    <t>33  9</t>
  </si>
  <si>
    <t>C  NNW</t>
  </si>
  <si>
    <t>30   19</t>
  </si>
  <si>
    <t>C   NNW</t>
  </si>
  <si>
    <t>31   13</t>
  </si>
  <si>
    <t>11.12--03.17</t>
  </si>
  <si>
    <t>运城</t>
  </si>
  <si>
    <t>运城53959</t>
  </si>
  <si>
    <t>35°02′</t>
  </si>
  <si>
    <t>111°01′</t>
  </si>
  <si>
    <t>C  W</t>
  </si>
  <si>
    <t>24  9</t>
  </si>
  <si>
    <t>C   SSE</t>
  </si>
  <si>
    <t>18  11</t>
  </si>
  <si>
    <t>11.22--03.02</t>
  </si>
  <si>
    <t>11.08--03.14</t>
  </si>
  <si>
    <t>晋城</t>
  </si>
  <si>
    <t>阳城53975</t>
  </si>
  <si>
    <t>35°29′</t>
  </si>
  <si>
    <t>112°24′</t>
  </si>
  <si>
    <t>35  11</t>
  </si>
  <si>
    <t>42   12</t>
  </si>
  <si>
    <t>37  9</t>
  </si>
  <si>
    <t>11.14--03.13</t>
  </si>
  <si>
    <t>11.06--03.28</t>
  </si>
  <si>
    <t>朔州</t>
  </si>
  <si>
    <t>右玉53478</t>
  </si>
  <si>
    <t>40°00′</t>
  </si>
  <si>
    <t>112°27′</t>
  </si>
  <si>
    <t>30  11</t>
  </si>
  <si>
    <t>41   11</t>
  </si>
  <si>
    <t>32   8</t>
  </si>
  <si>
    <t>10.--04.13</t>
  </si>
  <si>
    <t>10.01--04.26</t>
  </si>
  <si>
    <t>晋中</t>
  </si>
  <si>
    <t>榆社53787</t>
  </si>
  <si>
    <t>112°59′</t>
  </si>
  <si>
    <t>39   9</t>
  </si>
  <si>
    <t>C    E</t>
  </si>
  <si>
    <t>42   14</t>
  </si>
  <si>
    <t>38   9</t>
  </si>
  <si>
    <t>11.05--03.28</t>
  </si>
  <si>
    <t>忻州</t>
  </si>
  <si>
    <t>原平53673</t>
  </si>
  <si>
    <t>38°44′</t>
  </si>
  <si>
    <t>112°43′</t>
  </si>
  <si>
    <t>20   11</t>
  </si>
  <si>
    <t>C    NNE</t>
  </si>
  <si>
    <t>26   14</t>
  </si>
  <si>
    <t>22   12</t>
  </si>
  <si>
    <t>临汾</t>
  </si>
  <si>
    <t>临汾53868</t>
  </si>
  <si>
    <t>36°04′</t>
  </si>
  <si>
    <t>111°30′</t>
  </si>
  <si>
    <t>24   9</t>
  </si>
  <si>
    <t>35   7</t>
  </si>
  <si>
    <t>31   9</t>
  </si>
  <si>
    <t>11.13--03.06</t>
  </si>
  <si>
    <t>吕梁</t>
  </si>
  <si>
    <t>离石53764</t>
  </si>
  <si>
    <t>37°30′</t>
  </si>
  <si>
    <t>111°06′</t>
  </si>
  <si>
    <t>22   17</t>
  </si>
  <si>
    <t>NE</t>
  </si>
  <si>
    <t>10.20--04.03</t>
  </si>
  <si>
    <t>内蒙古</t>
  </si>
  <si>
    <t>呼和浩特</t>
  </si>
  <si>
    <t>呼和浩特53463</t>
  </si>
  <si>
    <t>40°49′</t>
  </si>
  <si>
    <t>111°41′</t>
  </si>
  <si>
    <t>36   8</t>
  </si>
  <si>
    <t>50   9</t>
  </si>
  <si>
    <t>40   7</t>
  </si>
  <si>
    <t>10.20--04.04</t>
  </si>
  <si>
    <t>10.12--04.13</t>
  </si>
  <si>
    <t>包头</t>
  </si>
  <si>
    <t>包头53446</t>
  </si>
  <si>
    <t>40°40′</t>
  </si>
  <si>
    <t>109°51′</t>
  </si>
  <si>
    <t>C   SE</t>
  </si>
  <si>
    <t>10.21--04.02</t>
  </si>
  <si>
    <t>10.13--04.12</t>
  </si>
  <si>
    <t>赤峰</t>
  </si>
  <si>
    <t>赤峰54218</t>
  </si>
  <si>
    <t>42°16′</t>
  </si>
  <si>
    <t>118°56′</t>
  </si>
  <si>
    <t>C   WSW</t>
  </si>
  <si>
    <t>20   13</t>
  </si>
  <si>
    <t xml:space="preserve">C   W  </t>
  </si>
  <si>
    <t>C   W</t>
  </si>
  <si>
    <t>21   13</t>
  </si>
  <si>
    <t>10.26--04.04</t>
  </si>
  <si>
    <t>10.16--04.12</t>
  </si>
  <si>
    <t>通辽</t>
  </si>
  <si>
    <t>通辽54135</t>
  </si>
  <si>
    <t>43°36′</t>
  </si>
  <si>
    <t>122°16′</t>
  </si>
  <si>
    <t>SSW</t>
  </si>
  <si>
    <t>NW</t>
  </si>
  <si>
    <t>10.13--04.14</t>
  </si>
  <si>
    <t>鄂尔多斯</t>
  </si>
  <si>
    <t>东胜53543</t>
  </si>
  <si>
    <t>39°50′</t>
  </si>
  <si>
    <t>109°59′</t>
  </si>
  <si>
    <t>10.11--04.17</t>
  </si>
  <si>
    <t>呼伦贝尔</t>
  </si>
  <si>
    <t>满州里50514</t>
  </si>
  <si>
    <t>49°34′</t>
  </si>
  <si>
    <t>117°26′</t>
  </si>
  <si>
    <t>13   10</t>
  </si>
  <si>
    <t>WSW</t>
  </si>
  <si>
    <t>09.30--04.27</t>
  </si>
  <si>
    <t>09.21--05.07</t>
  </si>
  <si>
    <t>海拉尔50527</t>
  </si>
  <si>
    <t>49°13′</t>
  </si>
  <si>
    <t>119°45′</t>
  </si>
  <si>
    <t>13   8</t>
  </si>
  <si>
    <t>22   19</t>
  </si>
  <si>
    <t>15   12</t>
  </si>
  <si>
    <t>09.22--05.06</t>
  </si>
  <si>
    <t>巴彦淖尔</t>
  </si>
  <si>
    <t>临河53513</t>
  </si>
  <si>
    <t>40°45′</t>
  </si>
  <si>
    <t>107°25′</t>
  </si>
  <si>
    <t>20   10</t>
  </si>
  <si>
    <t>30   13</t>
  </si>
  <si>
    <t>24   10</t>
  </si>
  <si>
    <t>10.24--03.29</t>
  </si>
  <si>
    <t>10.16--04.08</t>
  </si>
  <si>
    <t>乌兰察布</t>
  </si>
  <si>
    <t>集宁53480</t>
  </si>
  <si>
    <t>41°02′</t>
  </si>
  <si>
    <t>113°04′</t>
  </si>
  <si>
    <t>29    9</t>
  </si>
  <si>
    <t>33   13</t>
  </si>
  <si>
    <t>29   12</t>
  </si>
  <si>
    <t>10.16--04.14</t>
  </si>
  <si>
    <t>10.03--04.26</t>
  </si>
  <si>
    <t>兴安盟</t>
  </si>
  <si>
    <t>乌兰浩特50838</t>
  </si>
  <si>
    <t>46°05′</t>
  </si>
  <si>
    <t>122°03′</t>
  </si>
  <si>
    <t>C    NE</t>
  </si>
  <si>
    <t>23   7</t>
  </si>
  <si>
    <t xml:space="preserve">27  17  </t>
  </si>
  <si>
    <t>10.17--04.10</t>
  </si>
  <si>
    <t>10.09--04.19</t>
  </si>
  <si>
    <t>锡林郭勒盟</t>
  </si>
  <si>
    <t>二连浩特53068</t>
  </si>
  <si>
    <t>43°39′</t>
  </si>
  <si>
    <t>111°58′</t>
  </si>
  <si>
    <t>10.14--04.12</t>
  </si>
  <si>
    <t>10.07--04.20</t>
  </si>
  <si>
    <t>锡林浩特54102</t>
  </si>
  <si>
    <t>43°57′</t>
  </si>
  <si>
    <t>116°04′</t>
  </si>
  <si>
    <t>13   9</t>
  </si>
  <si>
    <t>C  WSW</t>
  </si>
  <si>
    <t>15   13</t>
  </si>
  <si>
    <t>10.01--04.27</t>
  </si>
  <si>
    <t>辽宁省</t>
  </si>
  <si>
    <t>沈阳</t>
  </si>
  <si>
    <t>沈阳54343</t>
  </si>
  <si>
    <t>41°44′</t>
  </si>
  <si>
    <t>123°27′</t>
  </si>
  <si>
    <t>10.30--03.30</t>
  </si>
  <si>
    <t>10.20--04.09</t>
  </si>
  <si>
    <t>大连</t>
  </si>
  <si>
    <t>大连54662</t>
  </si>
  <si>
    <t>121°38′</t>
  </si>
  <si>
    <t>NNE</t>
  </si>
  <si>
    <t>11.16--03.27</t>
  </si>
  <si>
    <t>11.06--04.06</t>
  </si>
  <si>
    <t>鞍山</t>
  </si>
  <si>
    <t>鞍山54339</t>
  </si>
  <si>
    <t>42°02′</t>
  </si>
  <si>
    <t>123°00′</t>
  </si>
  <si>
    <t>10.26--04.06</t>
  </si>
  <si>
    <t>抚顺</t>
  </si>
  <si>
    <t>抚顺54351</t>
  </si>
  <si>
    <t>41°54′</t>
  </si>
  <si>
    <t>124°05′</t>
  </si>
  <si>
    <t>ENE</t>
  </si>
  <si>
    <t>10.14--04.13</t>
  </si>
  <si>
    <t>本溪</t>
  </si>
  <si>
    <t>本溪54346</t>
  </si>
  <si>
    <t>41°19′</t>
  </si>
  <si>
    <t>123°47′</t>
  </si>
  <si>
    <t>ESE</t>
  </si>
  <si>
    <t>10.28--04.03</t>
  </si>
  <si>
    <t>10.18--04.10</t>
  </si>
  <si>
    <t>丹东</t>
  </si>
  <si>
    <t>丹东54497</t>
  </si>
  <si>
    <t>40°03′</t>
  </si>
  <si>
    <t>124°20′</t>
  </si>
  <si>
    <t>17   13</t>
  </si>
  <si>
    <t>C  ENE</t>
  </si>
  <si>
    <t>14   13</t>
  </si>
  <si>
    <t>11.07--03.31</t>
  </si>
  <si>
    <t>10.27--04.11</t>
  </si>
  <si>
    <t>锦州</t>
  </si>
  <si>
    <t>锦州54337</t>
  </si>
  <si>
    <t>41°08′</t>
  </si>
  <si>
    <t>121°07′</t>
  </si>
  <si>
    <t>21   15</t>
  </si>
  <si>
    <t>17   12</t>
  </si>
  <si>
    <t>营口</t>
  </si>
  <si>
    <t>营口54471</t>
  </si>
  <si>
    <t>11.06--03.29</t>
  </si>
  <si>
    <t>10.26--04.07</t>
  </si>
  <si>
    <t>阜新</t>
  </si>
  <si>
    <t>阜新54237</t>
  </si>
  <si>
    <t>42°05′</t>
  </si>
  <si>
    <t>121°43′</t>
  </si>
  <si>
    <t>29   21</t>
  </si>
  <si>
    <t>C  N</t>
  </si>
  <si>
    <t>36   9</t>
  </si>
  <si>
    <t>31   14</t>
  </si>
  <si>
    <t>10.27--04.03</t>
  </si>
  <si>
    <t>10.18--04.11</t>
  </si>
  <si>
    <t>铁岭</t>
  </si>
  <si>
    <t>开原54254</t>
  </si>
  <si>
    <t>42°32′</t>
  </si>
  <si>
    <t>124°03′</t>
  </si>
  <si>
    <t>10.27--04.04</t>
  </si>
  <si>
    <t>10.16--04.13</t>
  </si>
  <si>
    <t>朝阳</t>
  </si>
  <si>
    <t>朝阳54324</t>
  </si>
  <si>
    <t>41°33′</t>
  </si>
  <si>
    <t>120°27′</t>
  </si>
  <si>
    <t>32   22</t>
  </si>
  <si>
    <t>14   12</t>
  </si>
  <si>
    <t>33   16</t>
  </si>
  <si>
    <t>11.04--03.28</t>
  </si>
  <si>
    <t>10.21--04.05</t>
  </si>
  <si>
    <t>葫芦岛</t>
  </si>
  <si>
    <t>兴城54455</t>
  </si>
  <si>
    <t>40°35′</t>
  </si>
  <si>
    <t>120°42′</t>
  </si>
  <si>
    <t>26   16</t>
  </si>
  <si>
    <t>34   13</t>
  </si>
  <si>
    <t>28   10</t>
  </si>
  <si>
    <t>11.06--03.30</t>
  </si>
  <si>
    <t>10.26--04.10</t>
  </si>
  <si>
    <t>吉林省</t>
  </si>
  <si>
    <t>长春</t>
  </si>
  <si>
    <t>长春54161</t>
  </si>
  <si>
    <t>43°54′</t>
  </si>
  <si>
    <t>125°13′</t>
  </si>
  <si>
    <t>10.20--04.06</t>
  </si>
  <si>
    <t>10.12--04.17</t>
  </si>
  <si>
    <t>吉林</t>
  </si>
  <si>
    <t>吉林54172</t>
  </si>
  <si>
    <t>126°28′</t>
  </si>
  <si>
    <t>31  18</t>
  </si>
  <si>
    <t>22  13</t>
  </si>
  <si>
    <t>10.18--04.07</t>
  </si>
  <si>
    <t>10.11--04.19</t>
  </si>
  <si>
    <t>四平</t>
  </si>
  <si>
    <t>四平54157</t>
  </si>
  <si>
    <t>43°11′</t>
  </si>
  <si>
    <t>15  15</t>
  </si>
  <si>
    <t>10.25--04.05</t>
  </si>
  <si>
    <t>通化</t>
  </si>
  <si>
    <t>通化54363</t>
  </si>
  <si>
    <t>41°41′</t>
  </si>
  <si>
    <t>125°54′</t>
  </si>
  <si>
    <t>41  12</t>
  </si>
  <si>
    <t>53  7</t>
  </si>
  <si>
    <t>43  11</t>
  </si>
  <si>
    <t>10.20--04.07</t>
  </si>
  <si>
    <t>10.12--04.18</t>
  </si>
  <si>
    <t>白山</t>
  </si>
  <si>
    <t>临江54374</t>
  </si>
  <si>
    <t>41°48′</t>
  </si>
  <si>
    <t>126°55′</t>
  </si>
  <si>
    <t>42  14</t>
  </si>
  <si>
    <t>61  11</t>
  </si>
  <si>
    <t>46  14</t>
  </si>
  <si>
    <t>松原</t>
  </si>
  <si>
    <t>乾安50948</t>
  </si>
  <si>
    <t>45°00′</t>
  </si>
  <si>
    <t>124°01′</t>
  </si>
  <si>
    <t>WNW</t>
  </si>
  <si>
    <t>10.19--04.06</t>
  </si>
  <si>
    <t>10.11--04.18</t>
  </si>
  <si>
    <t>白城</t>
  </si>
  <si>
    <t>白城50936</t>
  </si>
  <si>
    <t>45°38′</t>
  </si>
  <si>
    <t>122°50′</t>
  </si>
  <si>
    <t>13  10</t>
  </si>
  <si>
    <t>11  10</t>
  </si>
  <si>
    <t>10  9</t>
  </si>
  <si>
    <t>10.10--04.18</t>
  </si>
  <si>
    <t>延边</t>
  </si>
  <si>
    <t>延吉54292</t>
  </si>
  <si>
    <t>42°53′</t>
  </si>
  <si>
    <t>129°28′</t>
  </si>
  <si>
    <t>C   E</t>
  </si>
  <si>
    <t>31  19</t>
  </si>
  <si>
    <t>42  19</t>
  </si>
  <si>
    <t>37  13</t>
  </si>
  <si>
    <t>10.20--04.08</t>
  </si>
  <si>
    <t>10.11--04.20</t>
  </si>
  <si>
    <t>黑龙江</t>
  </si>
  <si>
    <t>哈尔滨</t>
  </si>
  <si>
    <t>哈尔滨50953</t>
  </si>
  <si>
    <t>45°45′</t>
  </si>
  <si>
    <t>126°46′</t>
  </si>
  <si>
    <t>10.08--04.20</t>
  </si>
  <si>
    <t>齐齐哈尔</t>
  </si>
  <si>
    <t>齐齐哈尔50745</t>
  </si>
  <si>
    <t>47°23′</t>
  </si>
  <si>
    <t>123°55′</t>
  </si>
  <si>
    <t>10.15--04.13</t>
  </si>
  <si>
    <t>10.06--04.21</t>
  </si>
  <si>
    <t>鸡西</t>
  </si>
  <si>
    <t>鸡西50978</t>
  </si>
  <si>
    <t>45°17′</t>
  </si>
  <si>
    <t>130°57′</t>
  </si>
  <si>
    <t>22  11</t>
  </si>
  <si>
    <t>10.17--04.13</t>
  </si>
  <si>
    <t>10.09--04.21</t>
  </si>
  <si>
    <t>鹤岗</t>
  </si>
  <si>
    <t>鹤岗50775</t>
  </si>
  <si>
    <t>47°22′</t>
  </si>
  <si>
    <t>130°20′</t>
  </si>
  <si>
    <t>11  11</t>
  </si>
  <si>
    <t>10.14--04.15</t>
  </si>
  <si>
    <t>10.04--04.27</t>
  </si>
  <si>
    <t>伊春</t>
  </si>
  <si>
    <t>伊春80774</t>
  </si>
  <si>
    <t>47°44′</t>
  </si>
  <si>
    <t>128°55′</t>
  </si>
  <si>
    <t>30  16</t>
  </si>
  <si>
    <t>22   13</t>
  </si>
  <si>
    <t>10.10--04.17</t>
  </si>
  <si>
    <t>09.30--04.29</t>
  </si>
  <si>
    <t>佳木斯</t>
  </si>
  <si>
    <t>佳木斯50873</t>
  </si>
  <si>
    <t>46°49′</t>
  </si>
  <si>
    <t>130°17′</t>
  </si>
  <si>
    <t>20  12</t>
  </si>
  <si>
    <t>21  19</t>
  </si>
  <si>
    <t>18  15</t>
  </si>
  <si>
    <t>牡丹江</t>
  </si>
  <si>
    <t>牡丹江54094</t>
  </si>
  <si>
    <t>44°34′</t>
  </si>
  <si>
    <t>129°36′</t>
  </si>
  <si>
    <t>18  14</t>
  </si>
  <si>
    <t>27  13</t>
  </si>
  <si>
    <t>20  14</t>
  </si>
  <si>
    <t>10.17--04.11</t>
  </si>
  <si>
    <t>10.09--04.20</t>
  </si>
  <si>
    <t>双鸭山</t>
  </si>
  <si>
    <t>宝清50888</t>
  </si>
  <si>
    <t>46°19′</t>
  </si>
  <si>
    <t>132°11′</t>
  </si>
  <si>
    <t>10.10--04.21</t>
  </si>
  <si>
    <t>黑河</t>
  </si>
  <si>
    <t>黑河50468</t>
  </si>
  <si>
    <t>50°15′</t>
  </si>
  <si>
    <t>127°27′</t>
  </si>
  <si>
    <t>17  16</t>
  </si>
  <si>
    <t>10.06--04.20</t>
  </si>
  <si>
    <t>09.29--05.05</t>
  </si>
  <si>
    <t>绥化</t>
  </si>
  <si>
    <t>绥化50853</t>
  </si>
  <si>
    <t>46°37′</t>
  </si>
  <si>
    <t>126°58′</t>
  </si>
  <si>
    <t>大兴安岭地区</t>
  </si>
  <si>
    <t>漠河50136</t>
  </si>
  <si>
    <t>52°58′</t>
  </si>
  <si>
    <t>122°31′</t>
  </si>
  <si>
    <t>C    NW</t>
  </si>
  <si>
    <t>24   8</t>
  </si>
  <si>
    <t>55  10</t>
  </si>
  <si>
    <t>34  9</t>
  </si>
  <si>
    <t>-</t>
  </si>
  <si>
    <t>09.23--05.04</t>
  </si>
  <si>
    <t>09.13--05.14</t>
  </si>
  <si>
    <t>加格达奇50442</t>
  </si>
  <si>
    <t>50°24′</t>
  </si>
  <si>
    <t>124°07′</t>
  </si>
  <si>
    <t>23  12</t>
  </si>
  <si>
    <t>47  19</t>
  </si>
  <si>
    <t>31   16</t>
  </si>
  <si>
    <t>10.02--04.27</t>
  </si>
  <si>
    <t>上海</t>
  </si>
  <si>
    <t>徐家汇58367</t>
  </si>
  <si>
    <t>31°10′</t>
  </si>
  <si>
    <t>121°26′</t>
  </si>
  <si>
    <t>1971-1998</t>
  </si>
  <si>
    <t>SE</t>
  </si>
  <si>
    <t>01.01--02.11</t>
  </si>
  <si>
    <t>12.05--03.07</t>
  </si>
  <si>
    <t>江苏省</t>
  </si>
  <si>
    <t>南京</t>
  </si>
  <si>
    <t>南京58238</t>
  </si>
  <si>
    <t>32°00′</t>
  </si>
  <si>
    <t>118°48′</t>
  </si>
  <si>
    <t>18   11</t>
  </si>
  <si>
    <t>C    ENE</t>
  </si>
  <si>
    <t>23  9</t>
  </si>
  <si>
    <t>12.05--02.13</t>
  </si>
  <si>
    <t>11.24--03.12</t>
  </si>
  <si>
    <t>徐州</t>
  </si>
  <si>
    <t>徐州58027</t>
  </si>
  <si>
    <t>34°17′</t>
  </si>
  <si>
    <t>117°09′</t>
  </si>
  <si>
    <t>23  10</t>
  </si>
  <si>
    <t>11.27--03.03</t>
  </si>
  <si>
    <t>11.14--03.17</t>
  </si>
  <si>
    <t>南通</t>
  </si>
  <si>
    <t>南通58259</t>
  </si>
  <si>
    <t>31°59′</t>
  </si>
  <si>
    <t>120°53′</t>
  </si>
  <si>
    <t>12.19--02.13</t>
  </si>
  <si>
    <t>11.27--03.16</t>
  </si>
  <si>
    <t>连云港</t>
  </si>
  <si>
    <t>赣榆58040</t>
  </si>
  <si>
    <t>34°50′</t>
  </si>
  <si>
    <t>119°07′</t>
  </si>
  <si>
    <t>E</t>
  </si>
  <si>
    <t>11.26--03.07</t>
  </si>
  <si>
    <t>11.14--03.27</t>
  </si>
  <si>
    <t>常州</t>
  </si>
  <si>
    <t>常州58343</t>
  </si>
  <si>
    <t>31°46′</t>
  </si>
  <si>
    <t>119°56′</t>
  </si>
  <si>
    <t>12.19--02.12</t>
  </si>
  <si>
    <t>11.27--03.08</t>
  </si>
  <si>
    <t>淮安</t>
  </si>
  <si>
    <t>淮阴58144</t>
  </si>
  <si>
    <t>33°36′</t>
  </si>
  <si>
    <t>119°02′</t>
  </si>
  <si>
    <t>14   9</t>
  </si>
  <si>
    <t>C  ESE</t>
  </si>
  <si>
    <t>11   9</t>
  </si>
  <si>
    <t>12.02--03.04</t>
  </si>
  <si>
    <t>11.17--03.26</t>
  </si>
  <si>
    <t>盐城</t>
  </si>
  <si>
    <t>射阳58150</t>
  </si>
  <si>
    <t>33°46′</t>
  </si>
  <si>
    <t>120°15′</t>
  </si>
  <si>
    <t>12.02--03.05</t>
  </si>
  <si>
    <t>11.19--03.28</t>
  </si>
  <si>
    <t>扬州</t>
  </si>
  <si>
    <t>高邮</t>
  </si>
  <si>
    <t>32°48′</t>
  </si>
  <si>
    <t>119°27′</t>
  </si>
  <si>
    <t>12.07--03.03</t>
  </si>
  <si>
    <t>11.23--03.21</t>
  </si>
  <si>
    <t>苏州</t>
  </si>
  <si>
    <t>吴县东山58358</t>
  </si>
  <si>
    <t>31°04′</t>
  </si>
  <si>
    <t>120°26′</t>
  </si>
  <si>
    <t>12.24--02.11</t>
  </si>
  <si>
    <t>12.02--03.07</t>
  </si>
  <si>
    <t>浙江省</t>
  </si>
  <si>
    <t>杭州</t>
  </si>
  <si>
    <t>杭州58457</t>
  </si>
  <si>
    <t>30°14′</t>
  </si>
  <si>
    <t>120°10′</t>
  </si>
  <si>
    <t>20   15</t>
  </si>
  <si>
    <t>01.02--02.10</t>
  </si>
  <si>
    <t>12.06--03.05</t>
  </si>
  <si>
    <t>温州</t>
  </si>
  <si>
    <t>温州58659</t>
  </si>
  <si>
    <t>28°02′</t>
  </si>
  <si>
    <t>120°39′</t>
  </si>
  <si>
    <t>C    ESE</t>
  </si>
  <si>
    <t>29  18</t>
  </si>
  <si>
    <t>30   16</t>
  </si>
  <si>
    <t>C  SE</t>
  </si>
  <si>
    <t>01.10--02.11</t>
  </si>
  <si>
    <t>金华</t>
  </si>
  <si>
    <t>金华58549</t>
  </si>
  <si>
    <t>29°07′</t>
  </si>
  <si>
    <t>119°39′</t>
  </si>
  <si>
    <t>01.11--02.06</t>
  </si>
  <si>
    <t>12.09--02.14</t>
  </si>
  <si>
    <t>衢州</t>
  </si>
  <si>
    <t>衢州58633</t>
  </si>
  <si>
    <t>28°58′</t>
  </si>
  <si>
    <t>118°52′</t>
  </si>
  <si>
    <t>C      E</t>
  </si>
  <si>
    <t>18   18</t>
  </si>
  <si>
    <t>S</t>
  </si>
  <si>
    <t>01.12--01.12--01.20</t>
  </si>
  <si>
    <t>宁波</t>
  </si>
  <si>
    <t>鄞州58562</t>
  </si>
  <si>
    <t>29°52′</t>
  </si>
  <si>
    <t>121°34′</t>
  </si>
  <si>
    <t>18   17</t>
  </si>
  <si>
    <t>C  S</t>
  </si>
  <si>
    <t>15   10</t>
  </si>
  <si>
    <t>01.09--02.09</t>
  </si>
  <si>
    <t>12.08--03.05</t>
  </si>
  <si>
    <t>嘉兴</t>
  </si>
  <si>
    <t>平湖58464</t>
  </si>
  <si>
    <t>30°37′</t>
  </si>
  <si>
    <t>121°05′</t>
  </si>
  <si>
    <t>12.31--02.12</t>
  </si>
  <si>
    <t>11.29--03.07</t>
  </si>
  <si>
    <t>绍兴</t>
  </si>
  <si>
    <t>嵊州58556</t>
  </si>
  <si>
    <t>29°36′</t>
  </si>
  <si>
    <t>120°49′</t>
  </si>
  <si>
    <t>C     NE</t>
  </si>
  <si>
    <t>29   9</t>
  </si>
  <si>
    <t>28   23</t>
  </si>
  <si>
    <t>28  16</t>
  </si>
  <si>
    <t>12.05--03.05</t>
  </si>
  <si>
    <t>舟山</t>
  </si>
  <si>
    <t>定海58477</t>
  </si>
  <si>
    <t>30°02′</t>
  </si>
  <si>
    <t>122°06′</t>
  </si>
  <si>
    <t>C    SSE</t>
  </si>
  <si>
    <t>19   18</t>
  </si>
  <si>
    <t>01.29--02.05</t>
  </si>
  <si>
    <t>12.19--03.05</t>
  </si>
  <si>
    <t>台州</t>
  </si>
  <si>
    <t>玉环58667</t>
  </si>
  <si>
    <t>28°05′</t>
  </si>
  <si>
    <t>121°16′</t>
  </si>
  <si>
    <t>01.02--02.13</t>
  </si>
  <si>
    <t>丽水</t>
  </si>
  <si>
    <t>丽水58646</t>
  </si>
  <si>
    <t>28°27′</t>
  </si>
  <si>
    <t>119°55′</t>
  </si>
  <si>
    <t>41   10</t>
  </si>
  <si>
    <t>C  E</t>
  </si>
  <si>
    <t>45   14</t>
  </si>
  <si>
    <t>43   11</t>
  </si>
  <si>
    <t>12.18--02.12</t>
  </si>
  <si>
    <t>安徽省</t>
  </si>
  <si>
    <t>合肥</t>
  </si>
  <si>
    <t>合肥58321</t>
  </si>
  <si>
    <t>31°52′</t>
  </si>
  <si>
    <t>117°14′</t>
  </si>
  <si>
    <t>12.11--02.12</t>
  </si>
  <si>
    <t>11.24--03.06</t>
  </si>
  <si>
    <t>芜湖</t>
  </si>
  <si>
    <t>芜湖58334</t>
  </si>
  <si>
    <t>31°20′</t>
  </si>
  <si>
    <t>118°23′</t>
  </si>
  <si>
    <t>1971-1985</t>
  </si>
  <si>
    <t>16  15</t>
  </si>
  <si>
    <t>12.15--02.14</t>
  </si>
  <si>
    <t>12.02--03.15</t>
  </si>
  <si>
    <t>蚌埠</t>
  </si>
  <si>
    <t>蚌埠58221</t>
  </si>
  <si>
    <t>32°57′</t>
  </si>
  <si>
    <t>117°23′</t>
  </si>
  <si>
    <t>16   11</t>
  </si>
  <si>
    <t>12.07--02.27</t>
  </si>
  <si>
    <t>11.23--03.13</t>
  </si>
  <si>
    <t>安庆</t>
  </si>
  <si>
    <t>安庆58424</t>
  </si>
  <si>
    <t>30°32′</t>
  </si>
  <si>
    <t>117°03′</t>
  </si>
  <si>
    <t>12.25--02.10</t>
  </si>
  <si>
    <t>12.03--03.04</t>
  </si>
  <si>
    <t>六安</t>
  </si>
  <si>
    <t>六安58311</t>
  </si>
  <si>
    <t>31°45′</t>
  </si>
  <si>
    <t>116°30′</t>
  </si>
  <si>
    <t>16   12</t>
  </si>
  <si>
    <t>21   9</t>
  </si>
  <si>
    <t>亳州</t>
  </si>
  <si>
    <t>亳州58102</t>
  </si>
  <si>
    <t>33°52′</t>
  </si>
  <si>
    <t>115°46′</t>
  </si>
  <si>
    <t>12   8</t>
  </si>
  <si>
    <t>11.30--03.02</t>
  </si>
  <si>
    <t>11.15--03.15</t>
  </si>
  <si>
    <t>黄山</t>
  </si>
  <si>
    <t>黄山58437</t>
  </si>
  <si>
    <t>30°08′</t>
  </si>
  <si>
    <t>11.09--04.15</t>
  </si>
  <si>
    <t>10.24--04.18</t>
  </si>
  <si>
    <t>滁州</t>
  </si>
  <si>
    <t>滁州58236</t>
  </si>
  <si>
    <t>32°18′</t>
  </si>
  <si>
    <t>118°18′</t>
  </si>
  <si>
    <t>22   9</t>
  </si>
  <si>
    <t>20   8</t>
  </si>
  <si>
    <t>12.10--02.14</t>
  </si>
  <si>
    <t>11.24--03.13</t>
  </si>
  <si>
    <t>阜阳</t>
  </si>
  <si>
    <t>阜阳58203</t>
  </si>
  <si>
    <t>32°55′</t>
  </si>
  <si>
    <t>115°49′</t>
  </si>
  <si>
    <t>10   9</t>
  </si>
  <si>
    <t>12.06--02.14</t>
  </si>
  <si>
    <t>11.22--03.12</t>
  </si>
  <si>
    <t>宿州</t>
  </si>
  <si>
    <t>宿州58122</t>
  </si>
  <si>
    <t>33°38′</t>
  </si>
  <si>
    <t>116°59′</t>
  </si>
  <si>
    <t>12.01--03.03</t>
  </si>
  <si>
    <t>11.16--03.16</t>
  </si>
  <si>
    <t>巢湖</t>
  </si>
  <si>
    <t>巢湖58326</t>
  </si>
  <si>
    <t>31°37′</t>
  </si>
  <si>
    <t>117°52′</t>
  </si>
  <si>
    <t>22   16</t>
  </si>
  <si>
    <t>12.16--02.12</t>
  </si>
  <si>
    <t>11.26--03.06</t>
  </si>
  <si>
    <t>宣城</t>
  </si>
  <si>
    <t>宁国58436</t>
  </si>
  <si>
    <t>118°59′</t>
  </si>
  <si>
    <t>35   13</t>
  </si>
  <si>
    <t>32   9</t>
  </si>
  <si>
    <t>12.10--02.12</t>
  </si>
  <si>
    <t>11.24--03.07</t>
  </si>
  <si>
    <t>福建省</t>
  </si>
  <si>
    <t>福州</t>
  </si>
  <si>
    <t>福州58847</t>
  </si>
  <si>
    <t>26°05′</t>
  </si>
  <si>
    <t>119°17′</t>
  </si>
  <si>
    <t>17   23</t>
  </si>
  <si>
    <t>厦门</t>
  </si>
  <si>
    <t>厦门59134</t>
  </si>
  <si>
    <t>24°29′</t>
  </si>
  <si>
    <t>118°04′</t>
  </si>
  <si>
    <t>漳州</t>
  </si>
  <si>
    <t>漳州59126</t>
  </si>
  <si>
    <t>24°30′</t>
  </si>
  <si>
    <t>117°39′</t>
  </si>
  <si>
    <t>31   10</t>
  </si>
  <si>
    <t>34   18</t>
  </si>
  <si>
    <t>32   15</t>
  </si>
  <si>
    <t>三明</t>
  </si>
  <si>
    <t>泰宁58820</t>
  </si>
  <si>
    <t>26°54′</t>
  </si>
  <si>
    <t>117°10′</t>
  </si>
  <si>
    <t>59   6</t>
  </si>
  <si>
    <t>59   14</t>
  </si>
  <si>
    <t>59   9</t>
  </si>
  <si>
    <t>12.09--02.12</t>
  </si>
  <si>
    <t>南平</t>
  </si>
  <si>
    <t>南平58834</t>
  </si>
  <si>
    <t>26°39′</t>
  </si>
  <si>
    <t>118°10′</t>
  </si>
  <si>
    <t>C  SSE</t>
  </si>
  <si>
    <t>39   7</t>
  </si>
  <si>
    <t>42   10</t>
  </si>
  <si>
    <t>41   8</t>
  </si>
  <si>
    <t>龙岩</t>
  </si>
  <si>
    <t>龙岩58927</t>
  </si>
  <si>
    <t>25°06′</t>
  </si>
  <si>
    <t>117°02′</t>
  </si>
  <si>
    <t>1971-1992</t>
  </si>
  <si>
    <t>32   12</t>
  </si>
  <si>
    <t>C  NE</t>
  </si>
  <si>
    <t>41   15</t>
  </si>
  <si>
    <t>38   11</t>
  </si>
  <si>
    <t>宁德</t>
  </si>
  <si>
    <t>屏南58933</t>
  </si>
  <si>
    <t>26°55′</t>
  </si>
  <si>
    <t>1972-2000</t>
  </si>
  <si>
    <t>36   10</t>
  </si>
  <si>
    <t xml:space="preserve">42   10 </t>
  </si>
  <si>
    <t>12.08--03.04</t>
  </si>
  <si>
    <t>江西省</t>
  </si>
  <si>
    <t>南昌</t>
  </si>
  <si>
    <t>南昌58606</t>
  </si>
  <si>
    <t>28°36′</t>
  </si>
  <si>
    <t>115°55′</t>
  </si>
  <si>
    <t>21   11</t>
  </si>
  <si>
    <t>01.11--02.05</t>
  </si>
  <si>
    <t>12.10--02.13</t>
  </si>
  <si>
    <t>景德镇</t>
  </si>
  <si>
    <t>景德镇58527</t>
  </si>
  <si>
    <t>29°18′</t>
  </si>
  <si>
    <t>117°12′</t>
  </si>
  <si>
    <t>18   13</t>
  </si>
  <si>
    <t>20   17</t>
  </si>
  <si>
    <t>18   16</t>
  </si>
  <si>
    <t>01.11--02.04</t>
  </si>
  <si>
    <t>12.08--02.13</t>
  </si>
  <si>
    <t>九江</t>
  </si>
  <si>
    <t>九江58502</t>
  </si>
  <si>
    <t>29°44</t>
  </si>
  <si>
    <t>116°00′</t>
  </si>
  <si>
    <t>12.24--02.10</t>
  </si>
  <si>
    <t>12.07--03.05</t>
  </si>
  <si>
    <t>上饶</t>
  </si>
  <si>
    <t>玉山58634</t>
  </si>
  <si>
    <t>28°41′</t>
  </si>
  <si>
    <t>118°15′</t>
  </si>
  <si>
    <t>01.12--01.19</t>
  </si>
  <si>
    <t>赣州</t>
  </si>
  <si>
    <t>赣州57993</t>
  </si>
  <si>
    <t>25°51′</t>
  </si>
  <si>
    <t>114°57′</t>
  </si>
  <si>
    <t>23   15</t>
  </si>
  <si>
    <t>29   28</t>
  </si>
  <si>
    <t>27   19</t>
  </si>
  <si>
    <t>01.11--01.22</t>
  </si>
  <si>
    <t>吉安</t>
  </si>
  <si>
    <t>吉安57799</t>
  </si>
  <si>
    <t>27°07′</t>
  </si>
  <si>
    <t>114°58′</t>
  </si>
  <si>
    <t>12.21--02.11</t>
  </si>
  <si>
    <t>宜春</t>
  </si>
  <si>
    <t>宜春57793</t>
  </si>
  <si>
    <t>27°48′</t>
  </si>
  <si>
    <t>114°23′</t>
  </si>
  <si>
    <t>01.12--01.20</t>
  </si>
  <si>
    <t>抚州</t>
  </si>
  <si>
    <t>广昌58813</t>
  </si>
  <si>
    <t>26°51′</t>
  </si>
  <si>
    <t>116°20′</t>
  </si>
  <si>
    <t>27   17</t>
  </si>
  <si>
    <t>29   25</t>
  </si>
  <si>
    <t>29   18</t>
  </si>
  <si>
    <t>12.20--02.11</t>
  </si>
  <si>
    <t>鹰潭</t>
  </si>
  <si>
    <t>贵溪58626</t>
  </si>
  <si>
    <t>28°18′</t>
  </si>
  <si>
    <t>117°13′</t>
  </si>
  <si>
    <t>21   16</t>
  </si>
  <si>
    <t>25   17</t>
  </si>
  <si>
    <t>22   18</t>
  </si>
  <si>
    <t>山东省</t>
  </si>
  <si>
    <t>济南</t>
  </si>
  <si>
    <t>济南54823</t>
  </si>
  <si>
    <t>36°41′</t>
  </si>
  <si>
    <t>11.22--03.03</t>
  </si>
  <si>
    <t>11.13--03.14</t>
  </si>
  <si>
    <t>青岛</t>
  </si>
  <si>
    <t>青岛54857</t>
  </si>
  <si>
    <t>120°20′</t>
  </si>
  <si>
    <t>11.28--03.15</t>
  </si>
  <si>
    <t>11.15--04.04</t>
  </si>
  <si>
    <t>淄博</t>
  </si>
  <si>
    <t>淄博54830</t>
  </si>
  <si>
    <t>36°50′</t>
  </si>
  <si>
    <t>118°00′</t>
  </si>
  <si>
    <t>1971-1994</t>
  </si>
  <si>
    <t>11.18--03.10</t>
  </si>
  <si>
    <t>11.08--03.27</t>
  </si>
  <si>
    <t>烟台</t>
  </si>
  <si>
    <t>烟台54765</t>
  </si>
  <si>
    <t>37°32′</t>
  </si>
  <si>
    <t>121°24′</t>
  </si>
  <si>
    <t>1971-1991</t>
  </si>
  <si>
    <t>18   12</t>
  </si>
  <si>
    <t>13   11</t>
  </si>
  <si>
    <t>11.26--03.17</t>
  </si>
  <si>
    <t>11.15--04.03</t>
  </si>
  <si>
    <t>潍坊</t>
  </si>
  <si>
    <t>潍坊54843</t>
  </si>
  <si>
    <t>36°45′</t>
  </si>
  <si>
    <t>119°11′</t>
  </si>
  <si>
    <t>11.16--03.13</t>
  </si>
  <si>
    <t>11.08--03.28</t>
  </si>
  <si>
    <t>临沂</t>
  </si>
  <si>
    <t>临沂54938</t>
  </si>
  <si>
    <t>35°03′</t>
  </si>
  <si>
    <t>118°21′</t>
  </si>
  <si>
    <t>11.13--03.27</t>
  </si>
  <si>
    <t>德州</t>
  </si>
  <si>
    <t>德州54714</t>
  </si>
  <si>
    <t>37°26′</t>
  </si>
  <si>
    <t>116°19′</t>
  </si>
  <si>
    <t>1971-1997</t>
  </si>
  <si>
    <t>19   12</t>
  </si>
  <si>
    <t>11.17--03.10</t>
  </si>
  <si>
    <t>菏泽</t>
  </si>
  <si>
    <t>菏泽54906</t>
  </si>
  <si>
    <t>35°15′</t>
  </si>
  <si>
    <t>115°26′</t>
  </si>
  <si>
    <t>26   10</t>
  </si>
  <si>
    <t>20   12</t>
  </si>
  <si>
    <t>11.20--03.06</t>
  </si>
  <si>
    <t>11.09--03.18</t>
  </si>
  <si>
    <t>日照</t>
  </si>
  <si>
    <t>日照54945</t>
  </si>
  <si>
    <t>35°23′</t>
  </si>
  <si>
    <t>119°32′</t>
  </si>
  <si>
    <t>11.27--03.14</t>
  </si>
  <si>
    <t>11.15--03.30</t>
  </si>
  <si>
    <t>威海</t>
  </si>
  <si>
    <t>威海54774</t>
  </si>
  <si>
    <t>37°28′</t>
  </si>
  <si>
    <t>122°08′</t>
  </si>
  <si>
    <t>11.26--03.21</t>
  </si>
  <si>
    <t>11.14--04.03</t>
  </si>
  <si>
    <t>济宁</t>
  </si>
  <si>
    <t>兖州54916</t>
  </si>
  <si>
    <t>35°34′</t>
  </si>
  <si>
    <t>116°51′</t>
  </si>
  <si>
    <t>11.22--03.05</t>
  </si>
  <si>
    <t>11.10--03.26</t>
  </si>
  <si>
    <t>泰安</t>
  </si>
  <si>
    <t>泰安54827</t>
  </si>
  <si>
    <t>36°10′</t>
  </si>
  <si>
    <t>C ENE</t>
  </si>
  <si>
    <t>21   18</t>
  </si>
  <si>
    <t>25   13</t>
  </si>
  <si>
    <t>11.19--03.11</t>
  </si>
  <si>
    <t>滨州</t>
  </si>
  <si>
    <t>惠民54725</t>
  </si>
  <si>
    <t>117°31′</t>
  </si>
  <si>
    <t>东营</t>
  </si>
  <si>
    <t>东营54736</t>
  </si>
  <si>
    <t>118°40′</t>
  </si>
  <si>
    <t>11.19--03.13</t>
  </si>
  <si>
    <t>11.09--03.28</t>
  </si>
  <si>
    <t>河南省</t>
  </si>
  <si>
    <t>郑州</t>
  </si>
  <si>
    <t>郑州57083</t>
  </si>
  <si>
    <t>34°43′</t>
  </si>
  <si>
    <t>113°39′</t>
  </si>
  <si>
    <t>21   10</t>
  </si>
  <si>
    <t>11.26--03.02</t>
  </si>
  <si>
    <t>11.12--03.16</t>
  </si>
  <si>
    <t>开封</t>
  </si>
  <si>
    <t>开封57091</t>
  </si>
  <si>
    <t>34°46′</t>
  </si>
  <si>
    <t>12   11</t>
  </si>
  <si>
    <t>13   12</t>
  </si>
  <si>
    <t>11.25--03.03</t>
  </si>
  <si>
    <t>洛阳</t>
  </si>
  <si>
    <t>洛阳57073</t>
  </si>
  <si>
    <t>34°38′</t>
  </si>
  <si>
    <t>112°28′</t>
  </si>
  <si>
    <t>31    9</t>
  </si>
  <si>
    <t>30   11</t>
  </si>
  <si>
    <t>30   9</t>
  </si>
  <si>
    <t>12.01--03.02</t>
  </si>
  <si>
    <t>11.17--03.14</t>
  </si>
  <si>
    <t>新乡</t>
  </si>
  <si>
    <t>新乡53986</t>
  </si>
  <si>
    <t>35°19′</t>
  </si>
  <si>
    <t>113°53′</t>
  </si>
  <si>
    <t>29   17</t>
  </si>
  <si>
    <t>28   14</t>
  </si>
  <si>
    <t>11.24--03.02</t>
  </si>
  <si>
    <t>11.12--03.15</t>
  </si>
  <si>
    <t>安阳</t>
  </si>
  <si>
    <t>安阳53898</t>
  </si>
  <si>
    <t>36°07′</t>
  </si>
  <si>
    <t>114°22′</t>
  </si>
  <si>
    <t>28   17</t>
  </si>
  <si>
    <t>32   11</t>
  </si>
  <si>
    <t>28   16</t>
  </si>
  <si>
    <t>11.23--03.03</t>
  </si>
  <si>
    <t>11.10--03.15</t>
  </si>
  <si>
    <t>三门峡</t>
  </si>
  <si>
    <t>三门峡57051</t>
  </si>
  <si>
    <t>34°48′</t>
  </si>
  <si>
    <t>111°12′</t>
  </si>
  <si>
    <t>25   14</t>
  </si>
  <si>
    <t>11.09--03.16</t>
  </si>
  <si>
    <t>南阳</t>
  </si>
  <si>
    <t>南阳57178</t>
  </si>
  <si>
    <t>33°02′</t>
  </si>
  <si>
    <t>112°35′</t>
  </si>
  <si>
    <t>21   14</t>
  </si>
  <si>
    <t>26   18</t>
  </si>
  <si>
    <t>25   16</t>
  </si>
  <si>
    <t>12.04--02.27</t>
  </si>
  <si>
    <t>11.19--03.14</t>
  </si>
  <si>
    <t>商丘</t>
  </si>
  <si>
    <t>商丘58005</t>
  </si>
  <si>
    <t>34°27′</t>
  </si>
  <si>
    <t>115°40′</t>
  </si>
  <si>
    <t>14   10</t>
  </si>
  <si>
    <t>14   8</t>
  </si>
  <si>
    <t>11.13--03.17</t>
  </si>
  <si>
    <t>信阳</t>
  </si>
  <si>
    <t>信阳57297</t>
  </si>
  <si>
    <t>32°08′</t>
  </si>
  <si>
    <t>114°03′</t>
  </si>
  <si>
    <t>11.23--03.07</t>
  </si>
  <si>
    <t>许昌</t>
  </si>
  <si>
    <t>许昌57089</t>
  </si>
  <si>
    <t>34°01′</t>
  </si>
  <si>
    <t>113°51′</t>
  </si>
  <si>
    <t>11.28--03.02</t>
  </si>
  <si>
    <t>11.14--03.15</t>
  </si>
  <si>
    <t>驻马店</t>
  </si>
  <si>
    <t>驻马店57290</t>
  </si>
  <si>
    <t>33°00′</t>
  </si>
  <si>
    <t>114°01′</t>
  </si>
  <si>
    <t>12.04--02.28</t>
  </si>
  <si>
    <t>11.21--03.15</t>
  </si>
  <si>
    <t>周口</t>
  </si>
  <si>
    <t>西华57193</t>
  </si>
  <si>
    <t>33°47′</t>
  </si>
  <si>
    <t>114°31′</t>
  </si>
  <si>
    <t>17   11</t>
  </si>
  <si>
    <t>19   8</t>
  </si>
  <si>
    <t>11.27--03.02</t>
  </si>
  <si>
    <t>11.13--03.15</t>
  </si>
  <si>
    <t>湖北省</t>
  </si>
  <si>
    <t>武汉</t>
  </si>
  <si>
    <t>武汉57494</t>
  </si>
  <si>
    <t>114°08′</t>
  </si>
  <si>
    <t>23   8</t>
  </si>
  <si>
    <t>28   13</t>
  </si>
  <si>
    <t>12.22--02.09</t>
  </si>
  <si>
    <t>11.27--03.04</t>
  </si>
  <si>
    <t>黄石</t>
  </si>
  <si>
    <t>黄石58407</t>
  </si>
  <si>
    <t>30°15′</t>
  </si>
  <si>
    <t>115°03′</t>
  </si>
  <si>
    <t>19   16</t>
  </si>
  <si>
    <t>28   11</t>
  </si>
  <si>
    <t>24   12</t>
  </si>
  <si>
    <t>01.01--02.07</t>
  </si>
  <si>
    <t>12.06--03.03</t>
  </si>
  <si>
    <t>宜昌</t>
  </si>
  <si>
    <t>宜昌57461</t>
  </si>
  <si>
    <t>30°42′</t>
  </si>
  <si>
    <t>111°18′</t>
  </si>
  <si>
    <t>31   11</t>
  </si>
  <si>
    <t>36   14</t>
  </si>
  <si>
    <t>33   12</t>
  </si>
  <si>
    <t>01.09--02.05</t>
  </si>
  <si>
    <t>12.08--03.02</t>
  </si>
  <si>
    <t>恩施州</t>
  </si>
  <si>
    <t>恩施57447</t>
  </si>
  <si>
    <t>30°17′</t>
  </si>
  <si>
    <t>109°28′</t>
  </si>
  <si>
    <t>63   5</t>
  </si>
  <si>
    <t>72   3</t>
  </si>
  <si>
    <t>67   4</t>
  </si>
  <si>
    <t>01.11--01.23</t>
  </si>
  <si>
    <t>12.04--03.03</t>
  </si>
  <si>
    <t>荆州</t>
  </si>
  <si>
    <t>荆州57476</t>
  </si>
  <si>
    <t>30°20′</t>
  </si>
  <si>
    <t>112°11′</t>
  </si>
  <si>
    <t>12.27--02.08</t>
  </si>
  <si>
    <t>12.04--03.04</t>
  </si>
  <si>
    <t>襄樊</t>
  </si>
  <si>
    <t>枣阳57279</t>
  </si>
  <si>
    <t>30°09′</t>
  </si>
  <si>
    <t>112°45′</t>
  </si>
  <si>
    <t>16   13</t>
  </si>
  <si>
    <t>11.25--03.06</t>
  </si>
  <si>
    <t>荆门</t>
  </si>
  <si>
    <t>钟祥57378</t>
  </si>
  <si>
    <t>30°10′</t>
  </si>
  <si>
    <t>112°34′</t>
  </si>
  <si>
    <t>12.18--02.09</t>
  </si>
  <si>
    <t>12.01--03.05</t>
  </si>
  <si>
    <t>十堰</t>
  </si>
  <si>
    <t>房县57259</t>
  </si>
  <si>
    <t>110°46′</t>
  </si>
  <si>
    <t>55   15</t>
  </si>
  <si>
    <t>60   18</t>
  </si>
  <si>
    <t>57   17</t>
  </si>
  <si>
    <t>12.05--02.14</t>
  </si>
  <si>
    <t>黄冈</t>
  </si>
  <si>
    <t>麻城57399</t>
  </si>
  <si>
    <t>31°11′</t>
  </si>
  <si>
    <t>115°01′</t>
  </si>
  <si>
    <t>25   15</t>
  </si>
  <si>
    <t>27   22</t>
  </si>
  <si>
    <t>12.19--02.10</t>
  </si>
  <si>
    <t>11.26--03.05</t>
  </si>
  <si>
    <t>咸宁</t>
  </si>
  <si>
    <t>嘉鱼57583</t>
  </si>
  <si>
    <t>29°59′</t>
  </si>
  <si>
    <t>113°55′</t>
  </si>
  <si>
    <t>01.02--02.07</t>
  </si>
  <si>
    <t>随州</t>
  </si>
  <si>
    <t>广水57385</t>
  </si>
  <si>
    <t>113°49′</t>
  </si>
  <si>
    <t>26   15</t>
  </si>
  <si>
    <t>12.11--02.11</t>
  </si>
  <si>
    <r>
      <rPr>
        <sz val="10"/>
        <rFont val="宋体"/>
        <charset val="134"/>
      </rPr>
      <t xml:space="preserve">                    </t>
    </r>
    <r>
      <rPr>
        <sz val="22"/>
        <rFont val="楷体_GB2312"/>
        <charset val="134"/>
      </rPr>
      <t>湖南省</t>
    </r>
  </si>
  <si>
    <t>长沙</t>
  </si>
  <si>
    <t>马坡岭57679</t>
  </si>
  <si>
    <t>28°12′</t>
  </si>
  <si>
    <t>113°05′</t>
  </si>
  <si>
    <t>1972-1986</t>
  </si>
  <si>
    <t>12.26--02.11</t>
  </si>
  <si>
    <t>常德</t>
  </si>
  <si>
    <t>常德57662</t>
  </si>
  <si>
    <t>29°03′</t>
  </si>
  <si>
    <t>33   15</t>
  </si>
  <si>
    <t>28   12</t>
  </si>
  <si>
    <t>01.08--02.06</t>
  </si>
  <si>
    <t>12.08--03.03</t>
  </si>
  <si>
    <t>衡阳</t>
  </si>
  <si>
    <t>衡阳57872</t>
  </si>
  <si>
    <t>112°36′</t>
  </si>
  <si>
    <t>28   20</t>
  </si>
  <si>
    <t>23   16</t>
  </si>
  <si>
    <t>邵阳</t>
  </si>
  <si>
    <t>邵阳57766</t>
  </si>
  <si>
    <t>27°14′</t>
  </si>
  <si>
    <t>111°28′</t>
  </si>
  <si>
    <t>27   8</t>
  </si>
  <si>
    <t>32   13</t>
  </si>
  <si>
    <t>30   10</t>
  </si>
  <si>
    <t>01.12--01.22</t>
  </si>
  <si>
    <t>岳阳</t>
  </si>
  <si>
    <t>岳阳57584</t>
  </si>
  <si>
    <t>29°23′</t>
  </si>
  <si>
    <t>01.10--02.05</t>
  </si>
  <si>
    <t>郴州</t>
  </si>
  <si>
    <t>郴州57972</t>
  </si>
  <si>
    <t>25°48′</t>
  </si>
  <si>
    <t>113°02′</t>
  </si>
  <si>
    <t>39   14</t>
  </si>
  <si>
    <t>45   19</t>
  </si>
  <si>
    <t>44   13</t>
  </si>
  <si>
    <t>12.19--02.11</t>
  </si>
  <si>
    <t>张家界</t>
  </si>
  <si>
    <t>桑植57554</t>
  </si>
  <si>
    <t>29°24′</t>
  </si>
  <si>
    <t>110°10′</t>
  </si>
  <si>
    <t>47   12</t>
  </si>
  <si>
    <t>52   15</t>
  </si>
  <si>
    <t>50   14</t>
  </si>
  <si>
    <t>12.07--03.04</t>
  </si>
  <si>
    <t>益阳</t>
  </si>
  <si>
    <t>沅江57671</t>
  </si>
  <si>
    <t>28°51′</t>
  </si>
  <si>
    <t>112°22′</t>
  </si>
  <si>
    <t>01.09--02.06</t>
  </si>
  <si>
    <t>12.09--03.03</t>
  </si>
  <si>
    <t>永州</t>
  </si>
  <si>
    <t>零陵57866</t>
  </si>
  <si>
    <t>26°14′</t>
  </si>
  <si>
    <t>111°37′</t>
  </si>
  <si>
    <t>怀化</t>
  </si>
  <si>
    <t>芷江57745</t>
  </si>
  <si>
    <t>27°27′</t>
  </si>
  <si>
    <t>109°41′</t>
  </si>
  <si>
    <t>44   10</t>
  </si>
  <si>
    <t>40   24</t>
  </si>
  <si>
    <t>42   18</t>
  </si>
  <si>
    <t>01.08--02.05</t>
  </si>
  <si>
    <t>12.08--02.14</t>
  </si>
  <si>
    <t>娄底</t>
  </si>
  <si>
    <t>双峰57774</t>
  </si>
  <si>
    <t>112°10′</t>
  </si>
  <si>
    <t>39   21</t>
  </si>
  <si>
    <t>37   16</t>
  </si>
  <si>
    <t>湘西州</t>
  </si>
  <si>
    <t>吉首57649</t>
  </si>
  <si>
    <t>28°19′</t>
  </si>
  <si>
    <t>109°44′</t>
  </si>
  <si>
    <t>49   10</t>
  </si>
  <si>
    <t>46   10</t>
  </si>
  <si>
    <t>01.10--01.20</t>
  </si>
  <si>
    <t>广东省</t>
  </si>
  <si>
    <t>广州</t>
  </si>
  <si>
    <t>广州59287</t>
  </si>
  <si>
    <t>23°10′</t>
  </si>
  <si>
    <t>34   19</t>
  </si>
  <si>
    <t>湛江</t>
  </si>
  <si>
    <t>湛江59658</t>
  </si>
  <si>
    <t>21°13′</t>
  </si>
  <si>
    <t>110°24′</t>
  </si>
  <si>
    <t>汕头</t>
  </si>
  <si>
    <t>汕头59316</t>
  </si>
  <si>
    <t>23°24′</t>
  </si>
  <si>
    <t>116°41′</t>
  </si>
  <si>
    <t>韶关</t>
  </si>
  <si>
    <t>韶关59082</t>
  </si>
  <si>
    <t>24°41′</t>
  </si>
  <si>
    <t>113°36′</t>
  </si>
  <si>
    <t>41   17</t>
  </si>
  <si>
    <t>46   11</t>
  </si>
  <si>
    <t>44   8</t>
  </si>
  <si>
    <t>阳江</t>
  </si>
  <si>
    <t>阳江59663</t>
  </si>
  <si>
    <t>21°52′</t>
  </si>
  <si>
    <t>深圳</t>
  </si>
  <si>
    <t>深圳59493</t>
  </si>
  <si>
    <t>22°33′</t>
  </si>
  <si>
    <t>114°06′</t>
  </si>
  <si>
    <t>江门</t>
  </si>
  <si>
    <t>台山59478</t>
  </si>
  <si>
    <t>22°15′</t>
  </si>
  <si>
    <t>112°47′</t>
  </si>
  <si>
    <t>茂名</t>
  </si>
  <si>
    <t>信宜59456</t>
  </si>
  <si>
    <t>22°21′</t>
  </si>
  <si>
    <t>110°56′</t>
  </si>
  <si>
    <t>41   12</t>
  </si>
  <si>
    <t>肇庆</t>
  </si>
  <si>
    <t>高要59278</t>
  </si>
  <si>
    <t>23°02′</t>
  </si>
  <si>
    <t>27   12</t>
  </si>
  <si>
    <t>28   27</t>
  </si>
  <si>
    <t>惠州</t>
  </si>
  <si>
    <t>惠阳59298</t>
  </si>
  <si>
    <t>23°05′</t>
  </si>
  <si>
    <t>23   18</t>
  </si>
  <si>
    <t>梅州</t>
  </si>
  <si>
    <t>梅州59117</t>
  </si>
  <si>
    <t>24°16′</t>
  </si>
  <si>
    <t>116°06′</t>
  </si>
  <si>
    <t>46   9</t>
  </si>
  <si>
    <t>41   6</t>
  </si>
  <si>
    <t>汕尾</t>
  </si>
  <si>
    <t>汕尾59501</t>
  </si>
  <si>
    <t>22°48′</t>
  </si>
  <si>
    <t>115°22′</t>
  </si>
  <si>
    <t>河源</t>
  </si>
  <si>
    <t>河源59293</t>
  </si>
  <si>
    <t>23°44′</t>
  </si>
  <si>
    <t>114°41′</t>
  </si>
  <si>
    <t>37   17</t>
  </si>
  <si>
    <t>32   24</t>
  </si>
  <si>
    <t>35   14</t>
  </si>
  <si>
    <t>清远</t>
  </si>
  <si>
    <t>连州59072</t>
  </si>
  <si>
    <t>24°47′</t>
  </si>
  <si>
    <t>11°23′</t>
  </si>
  <si>
    <t>46   8</t>
  </si>
  <si>
    <t>47   16</t>
  </si>
  <si>
    <t>46   13</t>
  </si>
  <si>
    <t>揭阳</t>
  </si>
  <si>
    <t>惠来59317</t>
  </si>
  <si>
    <t>116°18′</t>
  </si>
  <si>
    <t>22   10</t>
  </si>
  <si>
    <t>广西</t>
  </si>
  <si>
    <t>南宁</t>
  </si>
  <si>
    <t>南宁59431</t>
  </si>
  <si>
    <t>22°49′</t>
  </si>
  <si>
    <t>108°21′</t>
  </si>
  <si>
    <t>43   12</t>
  </si>
  <si>
    <t>38   10</t>
  </si>
  <si>
    <t>柳州</t>
  </si>
  <si>
    <t>柳州59046</t>
  </si>
  <si>
    <t>24°21′</t>
  </si>
  <si>
    <t>109°24′</t>
  </si>
  <si>
    <t>34   15</t>
  </si>
  <si>
    <t>37   19</t>
  </si>
  <si>
    <t>36   12</t>
  </si>
  <si>
    <t>桂林</t>
  </si>
  <si>
    <t>桂林57957</t>
  </si>
  <si>
    <t>25°19′</t>
  </si>
  <si>
    <t>110°18′</t>
  </si>
  <si>
    <t>32   16</t>
  </si>
  <si>
    <t>01.10--02.06</t>
  </si>
  <si>
    <t>梧州</t>
  </si>
  <si>
    <t>梧州59265</t>
  </si>
  <si>
    <t>23°29′</t>
  </si>
  <si>
    <t>32   10</t>
  </si>
  <si>
    <t>24   16</t>
  </si>
  <si>
    <t>27   13</t>
  </si>
  <si>
    <t>北海</t>
  </si>
  <si>
    <t>北海59644</t>
  </si>
  <si>
    <t>21°27′</t>
  </si>
  <si>
    <t>109°08′</t>
  </si>
  <si>
    <t>百色</t>
  </si>
  <si>
    <t>百色59211</t>
  </si>
  <si>
    <t>23°54′</t>
  </si>
  <si>
    <t>106°36′</t>
  </si>
  <si>
    <t>43   9</t>
  </si>
  <si>
    <t>39   8</t>
  </si>
  <si>
    <t>饮州</t>
  </si>
  <si>
    <t>饮州59632</t>
  </si>
  <si>
    <t>21°57′</t>
  </si>
  <si>
    <t>108°37′</t>
  </si>
  <si>
    <t>玉林</t>
  </si>
  <si>
    <t>玉林59453</t>
  </si>
  <si>
    <t>22°39′</t>
  </si>
  <si>
    <t>30   21</t>
  </si>
  <si>
    <t>31   12</t>
  </si>
  <si>
    <t>防城港</t>
  </si>
  <si>
    <t>东兴58626</t>
  </si>
  <si>
    <t>21°32′</t>
  </si>
  <si>
    <t>107°58′</t>
  </si>
  <si>
    <t>24   11</t>
  </si>
  <si>
    <t>24   15</t>
  </si>
  <si>
    <t>河池</t>
  </si>
  <si>
    <t>河池59023</t>
  </si>
  <si>
    <t>24°42′</t>
  </si>
  <si>
    <t>108°03′</t>
  </si>
  <si>
    <t>39  26</t>
  </si>
  <si>
    <t>43   16</t>
  </si>
  <si>
    <t>43   20</t>
  </si>
  <si>
    <t>来宾</t>
  </si>
  <si>
    <t>来宾59242</t>
  </si>
  <si>
    <t>23°45′</t>
  </si>
  <si>
    <t>109°14′</t>
  </si>
  <si>
    <t>贺州</t>
  </si>
  <si>
    <t>贺州59065</t>
  </si>
  <si>
    <t>24°25′</t>
  </si>
  <si>
    <t>111°32′</t>
  </si>
  <si>
    <t>22  19</t>
  </si>
  <si>
    <t>31   21</t>
  </si>
  <si>
    <t>崇左</t>
  </si>
  <si>
    <t>龙州59417</t>
  </si>
  <si>
    <t>22°20′</t>
  </si>
  <si>
    <t>106°51′</t>
  </si>
  <si>
    <t>48   6</t>
  </si>
  <si>
    <t>41   16</t>
  </si>
  <si>
    <t>海南省</t>
  </si>
  <si>
    <t>海口</t>
  </si>
  <si>
    <t>海口59758</t>
  </si>
  <si>
    <t>20°02′</t>
  </si>
  <si>
    <t>110°21′</t>
  </si>
  <si>
    <t>三亚</t>
  </si>
  <si>
    <t>18°14′</t>
  </si>
  <si>
    <t>109°31′</t>
  </si>
  <si>
    <t>重庆</t>
  </si>
  <si>
    <t>重庆57515</t>
  </si>
  <si>
    <t>29°31′</t>
  </si>
  <si>
    <t>106°29′</t>
  </si>
  <si>
    <t>1971-1986</t>
  </si>
  <si>
    <t>33   8</t>
  </si>
  <si>
    <t>12.22--02.12</t>
  </si>
  <si>
    <t>万州</t>
  </si>
  <si>
    <t>万州57432</t>
  </si>
  <si>
    <t>30°46′</t>
  </si>
  <si>
    <t>108°24′</t>
  </si>
  <si>
    <t>74   5</t>
  </si>
  <si>
    <t>79   5</t>
  </si>
  <si>
    <t>96   5</t>
  </si>
  <si>
    <t>奉节</t>
  </si>
  <si>
    <t>奉节57348</t>
  </si>
  <si>
    <t>31°03′</t>
  </si>
  <si>
    <t>109°30′</t>
  </si>
  <si>
    <t>29   13</t>
  </si>
  <si>
    <t>01.12--01.23</t>
  </si>
  <si>
    <t>12.07--03.01</t>
  </si>
  <si>
    <t>四川省</t>
  </si>
  <si>
    <t>成都</t>
  </si>
  <si>
    <t>成都56294</t>
  </si>
  <si>
    <t>30°40′</t>
  </si>
  <si>
    <t>104°01′</t>
  </si>
  <si>
    <t>50   13</t>
  </si>
  <si>
    <t>广元</t>
  </si>
  <si>
    <t>广元57206</t>
  </si>
  <si>
    <t>32°26′</t>
  </si>
  <si>
    <t>105°51′</t>
  </si>
  <si>
    <t>42   8</t>
  </si>
  <si>
    <t>01.13--01.19</t>
  </si>
  <si>
    <t>12.03--02.15</t>
  </si>
  <si>
    <t>甘孜州</t>
  </si>
  <si>
    <t>康定56374</t>
  </si>
  <si>
    <t>30°03′</t>
  </si>
  <si>
    <t>101°58′</t>
  </si>
  <si>
    <t>31   26</t>
  </si>
  <si>
    <t>28   22</t>
  </si>
  <si>
    <t>10.14--04.18</t>
  </si>
  <si>
    <t>宜宾</t>
  </si>
  <si>
    <t>宜宾56492</t>
  </si>
  <si>
    <t>28°48′</t>
  </si>
  <si>
    <t>104°36′</t>
  </si>
  <si>
    <t>55   6</t>
  </si>
  <si>
    <t>68   6</t>
  </si>
  <si>
    <t>59   5</t>
  </si>
  <si>
    <t>12.26--01.26</t>
  </si>
  <si>
    <t>南充</t>
  </si>
  <si>
    <t>南坪区57411</t>
  </si>
  <si>
    <t>30°47′</t>
  </si>
  <si>
    <t>106°06′</t>
  </si>
  <si>
    <t>56   10</t>
  </si>
  <si>
    <t>48   10</t>
  </si>
  <si>
    <t>12.12--02.11</t>
  </si>
  <si>
    <t>凉山州</t>
  </si>
  <si>
    <t>西昌56571</t>
  </si>
  <si>
    <t>27°54′</t>
  </si>
  <si>
    <t>102°16′</t>
  </si>
  <si>
    <t>41   9</t>
  </si>
  <si>
    <t>35   10</t>
  </si>
  <si>
    <t>37   10</t>
  </si>
  <si>
    <t>遂宁</t>
  </si>
  <si>
    <t>遂宁57405</t>
  </si>
  <si>
    <t>30°30′</t>
  </si>
  <si>
    <t>105°35′</t>
  </si>
  <si>
    <t>58   7</t>
  </si>
  <si>
    <t>75   5</t>
  </si>
  <si>
    <t>65   7</t>
  </si>
  <si>
    <t>内江</t>
  </si>
  <si>
    <t>内江57504</t>
  </si>
  <si>
    <t>29°35′</t>
  </si>
  <si>
    <t>105°03′</t>
  </si>
  <si>
    <t>C     N</t>
  </si>
  <si>
    <t>25   11</t>
  </si>
  <si>
    <t>乐山</t>
  </si>
  <si>
    <t>乐山56386</t>
  </si>
  <si>
    <t>29°34′</t>
  </si>
  <si>
    <t>103°45′</t>
  </si>
  <si>
    <t>34   9</t>
  </si>
  <si>
    <t>45   11</t>
  </si>
  <si>
    <t>12.20--02.10</t>
  </si>
  <si>
    <t>泸州</t>
  </si>
  <si>
    <t>泸州57602</t>
  </si>
  <si>
    <t>28°53′</t>
  </si>
  <si>
    <t>105°26′</t>
  </si>
  <si>
    <t>12.25--01.26</t>
  </si>
  <si>
    <t>绵阳</t>
  </si>
  <si>
    <t>31°28′</t>
  </si>
  <si>
    <t>104°41′</t>
  </si>
  <si>
    <t>46   5</t>
  </si>
  <si>
    <t>57   7</t>
  </si>
  <si>
    <t>49   6</t>
  </si>
  <si>
    <t>12.05--02.15</t>
  </si>
  <si>
    <t>达州</t>
  </si>
  <si>
    <t>31°12′</t>
  </si>
  <si>
    <t>107°30′</t>
  </si>
  <si>
    <t>31  27</t>
  </si>
  <si>
    <t>45   25</t>
  </si>
  <si>
    <t>37   27</t>
  </si>
  <si>
    <t>雅安</t>
  </si>
  <si>
    <t>103°00′</t>
  </si>
  <si>
    <t>29   15</t>
  </si>
  <si>
    <t>40   11</t>
  </si>
  <si>
    <t>巴中</t>
  </si>
  <si>
    <t>106°46′</t>
  </si>
  <si>
    <t>52   5</t>
  </si>
  <si>
    <t>68   4</t>
  </si>
  <si>
    <t>60   4</t>
  </si>
  <si>
    <t>12.09--02.13</t>
  </si>
  <si>
    <t>资阳</t>
  </si>
  <si>
    <t>30°07′</t>
  </si>
  <si>
    <t>104°39′</t>
  </si>
  <si>
    <t>41   7</t>
  </si>
  <si>
    <t>50   6</t>
  </si>
  <si>
    <t>12.14--02.13</t>
  </si>
  <si>
    <t>阿坝州</t>
  </si>
  <si>
    <t>马尔康56172</t>
  </si>
  <si>
    <t>31°54′</t>
  </si>
  <si>
    <t>102°14′</t>
  </si>
  <si>
    <t>61   9</t>
  </si>
  <si>
    <t>62   10</t>
  </si>
  <si>
    <t>60   10</t>
  </si>
  <si>
    <t>11.06--03.07</t>
  </si>
  <si>
    <t>10.20--03.30</t>
  </si>
  <si>
    <t>贵州省</t>
  </si>
  <si>
    <t>贵阳</t>
  </si>
  <si>
    <t>贵阳57816</t>
  </si>
  <si>
    <t>26°35′</t>
  </si>
  <si>
    <t>106°43′</t>
  </si>
  <si>
    <t>24   17</t>
  </si>
  <si>
    <t>遵义</t>
  </si>
  <si>
    <t>遵义57713</t>
  </si>
  <si>
    <t>27°42′</t>
  </si>
  <si>
    <t>106°53′</t>
  </si>
  <si>
    <t>48   7</t>
  </si>
  <si>
    <t>50   7</t>
  </si>
  <si>
    <t>01.05--02.08</t>
  </si>
  <si>
    <t>毕节地区</t>
  </si>
  <si>
    <t>毕节57707</t>
  </si>
  <si>
    <t>27°18′</t>
  </si>
  <si>
    <t>105°17′</t>
  </si>
  <si>
    <t>60   12</t>
  </si>
  <si>
    <t>69   7</t>
  </si>
  <si>
    <t>62   9</t>
  </si>
  <si>
    <t>11.19--03.10</t>
  </si>
  <si>
    <t>安顺</t>
  </si>
  <si>
    <t>安顺57806</t>
  </si>
  <si>
    <t>26°15′</t>
  </si>
  <si>
    <t>105°55′</t>
  </si>
  <si>
    <t>01.01--02.10</t>
  </si>
  <si>
    <t>11.27--03.05</t>
  </si>
  <si>
    <t>铜仁地区</t>
  </si>
  <si>
    <t>铜仁57741</t>
  </si>
  <si>
    <t>27°43′</t>
  </si>
  <si>
    <t>109°11′</t>
  </si>
  <si>
    <t>62   7</t>
  </si>
  <si>
    <t>58   15</t>
  </si>
  <si>
    <t>61   11</t>
  </si>
  <si>
    <t>01.29--02.02</t>
  </si>
  <si>
    <t>12.12--02.13</t>
  </si>
  <si>
    <t>黔西南州</t>
  </si>
  <si>
    <t>兴仁57902</t>
  </si>
  <si>
    <t>25°26′</t>
  </si>
  <si>
    <t>105°11′</t>
  </si>
  <si>
    <t>黔南州</t>
  </si>
  <si>
    <t>罗甸57916</t>
  </si>
  <si>
    <t>*参考27.8</t>
  </si>
  <si>
    <t>69   4</t>
  </si>
  <si>
    <t>62   8</t>
  </si>
  <si>
    <t>64   6</t>
  </si>
  <si>
    <t>黔东南州</t>
  </si>
  <si>
    <t>凯里57825</t>
  </si>
  <si>
    <t>26°36′</t>
  </si>
  <si>
    <t>107°59′</t>
  </si>
  <si>
    <t>33   9</t>
  </si>
  <si>
    <t>26   22</t>
  </si>
  <si>
    <t>01.09--02.07</t>
  </si>
  <si>
    <t>六盘水</t>
  </si>
  <si>
    <t>盘县56793</t>
  </si>
  <si>
    <t>25°47′</t>
  </si>
  <si>
    <t>104°37′</t>
  </si>
  <si>
    <t>48   9</t>
  </si>
  <si>
    <t>31   19</t>
  </si>
  <si>
    <t>云南省</t>
  </si>
  <si>
    <t>昆明</t>
  </si>
  <si>
    <t>昆明56778</t>
  </si>
  <si>
    <t>25°01′</t>
  </si>
  <si>
    <t>102°41′</t>
  </si>
  <si>
    <t>35   19</t>
  </si>
  <si>
    <t>12.17--01.12</t>
  </si>
  <si>
    <t>保山</t>
  </si>
  <si>
    <t>保山56748</t>
  </si>
  <si>
    <t>25°07′</t>
  </si>
  <si>
    <t>99°10′</t>
  </si>
  <si>
    <t>50   10</t>
  </si>
  <si>
    <t>54   10</t>
  </si>
  <si>
    <t>52   8</t>
  </si>
  <si>
    <t>01.01--01.06</t>
  </si>
  <si>
    <t>昭通</t>
  </si>
  <si>
    <t>昭通56586</t>
  </si>
  <si>
    <t>27°21′</t>
  </si>
  <si>
    <t>103°43′</t>
  </si>
  <si>
    <t>32   20</t>
  </si>
  <si>
    <t>36   17</t>
  </si>
  <si>
    <t>12.04--02.14</t>
  </si>
  <si>
    <t>11.10--03.11</t>
  </si>
  <si>
    <t>丽江</t>
  </si>
  <si>
    <t>丽江56651</t>
  </si>
  <si>
    <t>26°52′</t>
  </si>
  <si>
    <t>100°13′</t>
  </si>
  <si>
    <t>11.27--02.16</t>
  </si>
  <si>
    <t>普洱</t>
  </si>
  <si>
    <t>思茅56964</t>
  </si>
  <si>
    <t>22°47′</t>
  </si>
  <si>
    <t>100°58′</t>
  </si>
  <si>
    <t>51   10</t>
  </si>
  <si>
    <t>59   7</t>
  </si>
  <si>
    <t>55   7</t>
  </si>
  <si>
    <t>红河州</t>
  </si>
  <si>
    <t>蒙自56985</t>
  </si>
  <si>
    <t>23°23′</t>
  </si>
  <si>
    <t>103°23′</t>
  </si>
  <si>
    <t>西双版纳州</t>
  </si>
  <si>
    <t>景洪56959</t>
  </si>
  <si>
    <t>22°00′</t>
  </si>
  <si>
    <t>100°47′</t>
  </si>
  <si>
    <t>58   8</t>
  </si>
  <si>
    <t>68   5</t>
  </si>
  <si>
    <t>文山州</t>
  </si>
  <si>
    <t>文山州56994</t>
  </si>
  <si>
    <t>104°15′</t>
  </si>
  <si>
    <t>曲靖</t>
  </si>
  <si>
    <t>沾益56786</t>
  </si>
  <si>
    <t>25°35′</t>
  </si>
  <si>
    <t>103°50′</t>
  </si>
  <si>
    <t>19   19</t>
  </si>
  <si>
    <t>12.08--02.05</t>
  </si>
  <si>
    <t>玉溪</t>
  </si>
  <si>
    <t>玉溪56875</t>
  </si>
  <si>
    <t>102°33′</t>
  </si>
  <si>
    <t>45   16</t>
  </si>
  <si>
    <t>临沧</t>
  </si>
  <si>
    <t>临沧56951</t>
  </si>
  <si>
    <t>23°53′</t>
  </si>
  <si>
    <t>100°05′</t>
  </si>
  <si>
    <t>54   8</t>
  </si>
  <si>
    <t>55   4</t>
  </si>
  <si>
    <t>楚雄州</t>
  </si>
  <si>
    <t>楚雄56768</t>
  </si>
  <si>
    <t>101°32′</t>
  </si>
  <si>
    <t>32   14</t>
  </si>
  <si>
    <t xml:space="preserve">45   14 </t>
  </si>
  <si>
    <t>40   13</t>
  </si>
  <si>
    <t>01.01--01.08</t>
  </si>
  <si>
    <t>大理州</t>
  </si>
  <si>
    <t>大理56751</t>
  </si>
  <si>
    <t>25°42′</t>
  </si>
  <si>
    <t>100°11′</t>
  </si>
  <si>
    <t>15   8</t>
  </si>
  <si>
    <t>12.15--01.12</t>
  </si>
  <si>
    <t>德宏州</t>
  </si>
  <si>
    <t>瑞丽56838</t>
  </si>
  <si>
    <t>24°01′</t>
  </si>
  <si>
    <t>97°51′</t>
  </si>
  <si>
    <t>51   8</t>
  </si>
  <si>
    <t>怒江州</t>
  </si>
  <si>
    <t>泸水56741</t>
  </si>
  <si>
    <t>25°59′</t>
  </si>
  <si>
    <t>98°49′</t>
  </si>
  <si>
    <t>迪庆州</t>
  </si>
  <si>
    <t>香格里拉56543</t>
  </si>
  <si>
    <t>27°50′</t>
  </si>
  <si>
    <t>99°42′</t>
  </si>
  <si>
    <t>37   14</t>
  </si>
  <si>
    <t>36   13</t>
  </si>
  <si>
    <t>10.23--04.16</t>
  </si>
  <si>
    <t>10.10--05.05</t>
  </si>
  <si>
    <t>西藏</t>
  </si>
  <si>
    <t>拉萨</t>
  </si>
  <si>
    <t>拉萨55591</t>
  </si>
  <si>
    <t>29°40′</t>
  </si>
  <si>
    <t>91°08′</t>
  </si>
  <si>
    <t>30   12</t>
  </si>
  <si>
    <t>27   15</t>
  </si>
  <si>
    <t>11.01--03.12</t>
  </si>
  <si>
    <t>10.19--04.15</t>
  </si>
  <si>
    <t>昌都地区</t>
  </si>
  <si>
    <t>昌都56137</t>
  </si>
  <si>
    <t>31°09′</t>
  </si>
  <si>
    <t>97°10′</t>
  </si>
  <si>
    <t>61   5</t>
  </si>
  <si>
    <t>51   6</t>
  </si>
  <si>
    <t>10.28--03.24</t>
  </si>
  <si>
    <t>10.17--04.19</t>
  </si>
  <si>
    <t>那曲地区</t>
  </si>
  <si>
    <t>那曲55299</t>
  </si>
  <si>
    <t>31°29′</t>
  </si>
  <si>
    <t>92°04′</t>
  </si>
  <si>
    <t>30   7</t>
  </si>
  <si>
    <t>39   11</t>
  </si>
  <si>
    <t>34   8</t>
  </si>
  <si>
    <t>09.17--05.28</t>
  </si>
  <si>
    <t>08.23--06.18</t>
  </si>
  <si>
    <t>日喀则地区</t>
  </si>
  <si>
    <t>日喀则55578</t>
  </si>
  <si>
    <t>29°15′</t>
  </si>
  <si>
    <t>88°53′</t>
  </si>
  <si>
    <t>51   9</t>
  </si>
  <si>
    <t>50   11</t>
  </si>
  <si>
    <t>10.22--03.29</t>
  </si>
  <si>
    <t>10.11--04.22</t>
  </si>
  <si>
    <t>林芝地区</t>
  </si>
  <si>
    <t>林芝56312</t>
  </si>
  <si>
    <t>94°20′</t>
  </si>
  <si>
    <t>11.13--03.08</t>
  </si>
  <si>
    <t>10.24--04.13</t>
  </si>
  <si>
    <t>阿里地区</t>
  </si>
  <si>
    <t>狮泉河55228</t>
  </si>
  <si>
    <t>32°30′</t>
  </si>
  <si>
    <t>80°05′</t>
  </si>
  <si>
    <t>24   14</t>
  </si>
  <si>
    <t>09.28--05.23</t>
  </si>
  <si>
    <t>09.19--06.08</t>
  </si>
  <si>
    <t>山南地区</t>
  </si>
  <si>
    <t>错那55690</t>
  </si>
  <si>
    <t>27°59′</t>
  </si>
  <si>
    <t>91°57′</t>
  </si>
  <si>
    <t>32   17</t>
  </si>
  <si>
    <t>09.23--05.31</t>
  </si>
  <si>
    <t>01.01--12.31</t>
  </si>
  <si>
    <t>陕西省</t>
  </si>
  <si>
    <t>西安</t>
  </si>
  <si>
    <t>西安57036</t>
  </si>
  <si>
    <t>34°18′</t>
  </si>
  <si>
    <t>108°56′</t>
  </si>
  <si>
    <t>35   11</t>
  </si>
  <si>
    <t>11.23--03.02</t>
  </si>
  <si>
    <t>11.09--03.15</t>
  </si>
  <si>
    <t>延安</t>
  </si>
  <si>
    <t>延安53845</t>
  </si>
  <si>
    <t>36°36′</t>
  </si>
  <si>
    <t xml:space="preserve">25   20 </t>
  </si>
  <si>
    <t>26   17</t>
  </si>
  <si>
    <t>11.06--03.18</t>
  </si>
  <si>
    <t>10.23--03.30</t>
  </si>
  <si>
    <t>宝鸡</t>
  </si>
  <si>
    <t>宝鸡57016</t>
  </si>
  <si>
    <t>34°21′</t>
  </si>
  <si>
    <t>107°08′</t>
  </si>
  <si>
    <t>37   12</t>
  </si>
  <si>
    <t>54   13</t>
  </si>
  <si>
    <t>47   13</t>
  </si>
  <si>
    <t>11.08--03.22</t>
  </si>
  <si>
    <t>汉中</t>
  </si>
  <si>
    <t>汉中57127</t>
  </si>
  <si>
    <t>33°04′</t>
  </si>
  <si>
    <t>107°02′</t>
  </si>
  <si>
    <t>55   8</t>
  </si>
  <si>
    <t>49   8</t>
  </si>
  <si>
    <t>12.04--02.13</t>
  </si>
  <si>
    <t>11.15--03.09</t>
  </si>
  <si>
    <t>榆林</t>
  </si>
  <si>
    <t>榆林53646</t>
  </si>
  <si>
    <t>109°42′</t>
  </si>
  <si>
    <t>43   14</t>
  </si>
  <si>
    <t>10.27--03.28</t>
  </si>
  <si>
    <t>10.17--04.05</t>
  </si>
  <si>
    <t>安康</t>
  </si>
  <si>
    <t>安康57245</t>
  </si>
  <si>
    <t>32°43′</t>
  </si>
  <si>
    <t>109°02′</t>
  </si>
  <si>
    <t>49   13</t>
  </si>
  <si>
    <t>45   10</t>
  </si>
  <si>
    <t>12.12--02.09</t>
  </si>
  <si>
    <t>铜川</t>
  </si>
  <si>
    <t>铜川53947</t>
  </si>
  <si>
    <t>35°05′</t>
  </si>
  <si>
    <t>109°04′</t>
  </si>
  <si>
    <t>11.10--03.17</t>
  </si>
  <si>
    <t>11.03--03.30</t>
  </si>
  <si>
    <t>咸阳</t>
  </si>
  <si>
    <t>武功57034</t>
  </si>
  <si>
    <t>34°15′</t>
  </si>
  <si>
    <t>108°13′</t>
  </si>
  <si>
    <t>*参考27.0</t>
  </si>
  <si>
    <t>34   7</t>
  </si>
  <si>
    <t>11.08--03.20</t>
  </si>
  <si>
    <t>商洛</t>
  </si>
  <si>
    <t>商州57143</t>
  </si>
  <si>
    <t>109°58′</t>
  </si>
  <si>
    <t>27   18</t>
  </si>
  <si>
    <t>11.25--03.04</t>
  </si>
  <si>
    <t>11.09--03.27</t>
  </si>
  <si>
    <t>甘肃省</t>
  </si>
  <si>
    <t>兰州</t>
  </si>
  <si>
    <t>兰州52889</t>
  </si>
  <si>
    <t>36°03′</t>
  </si>
  <si>
    <t>103°53′</t>
  </si>
  <si>
    <t>851..5</t>
  </si>
  <si>
    <t>11.05--03.14</t>
  </si>
  <si>
    <t>10.20--03.28</t>
  </si>
  <si>
    <t>酒泉</t>
  </si>
  <si>
    <t>酒泉52533</t>
  </si>
  <si>
    <t>39°46′</t>
  </si>
  <si>
    <t>98°29′</t>
  </si>
  <si>
    <t>21   12</t>
  </si>
  <si>
    <t>10.23--03.28</t>
  </si>
  <si>
    <t>10.12--04.12</t>
  </si>
  <si>
    <t>平凉</t>
  </si>
  <si>
    <t>平凉53915</t>
  </si>
  <si>
    <t>35°33′</t>
  </si>
  <si>
    <t>106°40′</t>
  </si>
  <si>
    <t>22   20</t>
  </si>
  <si>
    <t>10.18--04.05</t>
  </si>
  <si>
    <t>天水</t>
  </si>
  <si>
    <t>天水57006</t>
  </si>
  <si>
    <t>34°35′</t>
  </si>
  <si>
    <t>105°45′</t>
  </si>
  <si>
    <t>43   15</t>
  </si>
  <si>
    <t>51   15</t>
  </si>
  <si>
    <t>47   15</t>
  </si>
  <si>
    <t>11.11--03.09</t>
  </si>
  <si>
    <t>陇南</t>
  </si>
  <si>
    <t>武都56096</t>
  </si>
  <si>
    <t>33°24′</t>
  </si>
  <si>
    <t>104°55′</t>
  </si>
  <si>
    <t xml:space="preserve">39   10 </t>
  </si>
  <si>
    <t>47   6</t>
  </si>
  <si>
    <t>43   8</t>
  </si>
  <si>
    <t>12.09--02.10</t>
  </si>
  <si>
    <t>11.23--03.04</t>
  </si>
  <si>
    <t>张掖</t>
  </si>
  <si>
    <t>张掖52652</t>
  </si>
  <si>
    <t>38°56′</t>
  </si>
  <si>
    <t>100°26′</t>
  </si>
  <si>
    <t>C     S</t>
  </si>
  <si>
    <t>10.21--03.28</t>
  </si>
  <si>
    <t>10.12--04.07</t>
  </si>
  <si>
    <t>白银</t>
  </si>
  <si>
    <t>靖远52895</t>
  </si>
  <si>
    <t>36°34′</t>
  </si>
  <si>
    <t>69   6</t>
  </si>
  <si>
    <t>56   6</t>
  </si>
  <si>
    <t>11.03--03.20</t>
  </si>
  <si>
    <t>10.19--04.03</t>
  </si>
  <si>
    <t>金昌</t>
  </si>
  <si>
    <t>永昌52674</t>
  </si>
  <si>
    <t>27   16</t>
  </si>
  <si>
    <t>10.15--04.04</t>
  </si>
  <si>
    <t>10.05--04.21</t>
  </si>
  <si>
    <t>庆阳</t>
  </si>
  <si>
    <t>西峰镇53923</t>
  </si>
  <si>
    <t>35°44′</t>
  </si>
  <si>
    <t>107°38′</t>
  </si>
  <si>
    <t>10.18--04.06</t>
  </si>
  <si>
    <t>定西</t>
  </si>
  <si>
    <t>临洮52986</t>
  </si>
  <si>
    <t>35°22′</t>
  </si>
  <si>
    <t>103°52′</t>
  </si>
  <si>
    <t>43   7</t>
  </si>
  <si>
    <t>52   7</t>
  </si>
  <si>
    <t>45   6</t>
  </si>
  <si>
    <t>10.25--03.28</t>
  </si>
  <si>
    <t>武威</t>
  </si>
  <si>
    <t>武威52679</t>
  </si>
  <si>
    <t>37°55′</t>
  </si>
  <si>
    <t>102°40′</t>
  </si>
  <si>
    <t>35   9</t>
  </si>
  <si>
    <t>10.24--03.27</t>
  </si>
  <si>
    <t>10.14--04.05</t>
  </si>
  <si>
    <t>临夏州</t>
  </si>
  <si>
    <t>临夏52984</t>
  </si>
  <si>
    <t>35°35′</t>
  </si>
  <si>
    <t>103°11′</t>
  </si>
  <si>
    <t>54   9</t>
  </si>
  <si>
    <t>47   10</t>
  </si>
  <si>
    <t>49   9</t>
  </si>
  <si>
    <t>10.24--03.28</t>
  </si>
  <si>
    <t>10.13--04.15</t>
  </si>
  <si>
    <t>甘南州</t>
  </si>
  <si>
    <t>合作56080</t>
  </si>
  <si>
    <t>35°00′</t>
  </si>
  <si>
    <t>102°54′</t>
  </si>
  <si>
    <t>C    N</t>
  </si>
  <si>
    <t>63   8</t>
  </si>
  <si>
    <t>10.08--04.27</t>
  </si>
  <si>
    <t>09.15--05.22</t>
  </si>
  <si>
    <t>青海省</t>
  </si>
  <si>
    <t>西宁</t>
  </si>
  <si>
    <t>西宁52866</t>
  </si>
  <si>
    <t>36°43′</t>
  </si>
  <si>
    <t>101°45′</t>
  </si>
  <si>
    <t>49   18</t>
  </si>
  <si>
    <t>41   20</t>
  </si>
  <si>
    <t>10.20--04.02</t>
  </si>
  <si>
    <t>玉树州</t>
  </si>
  <si>
    <t>玉树56029</t>
  </si>
  <si>
    <t>33°01′</t>
  </si>
  <si>
    <t>97°01′</t>
  </si>
  <si>
    <t>63   7</t>
  </si>
  <si>
    <t>60   6</t>
  </si>
  <si>
    <t>10.09--04.25</t>
  </si>
  <si>
    <t>09.17--05.22</t>
  </si>
  <si>
    <t>海西州</t>
  </si>
  <si>
    <t>格尔木52818</t>
  </si>
  <si>
    <t>36°25′</t>
  </si>
  <si>
    <t>94°54′</t>
  </si>
  <si>
    <t>10.15--04.08</t>
  </si>
  <si>
    <t>10.02--04.22</t>
  </si>
  <si>
    <t>黄南州</t>
  </si>
  <si>
    <t>河南56065</t>
  </si>
  <si>
    <t>34°44′</t>
  </si>
  <si>
    <t>101°36′</t>
  </si>
  <si>
    <t>09.17--05.17</t>
  </si>
  <si>
    <t>09.01--06.12</t>
  </si>
  <si>
    <t>海南州</t>
  </si>
  <si>
    <t>共和52856</t>
  </si>
  <si>
    <t>36°16′</t>
  </si>
  <si>
    <t>100°37′</t>
  </si>
  <si>
    <t>30   8</t>
  </si>
  <si>
    <t>45   12</t>
  </si>
  <si>
    <t>果洛州</t>
  </si>
  <si>
    <t>达日56046</t>
  </si>
  <si>
    <t>33°45′</t>
  </si>
  <si>
    <t>99°39′</t>
  </si>
  <si>
    <t>38   7</t>
  </si>
  <si>
    <t>09.14--05.26</t>
  </si>
  <si>
    <t>08.23--06.20</t>
  </si>
  <si>
    <t>海北州</t>
  </si>
  <si>
    <t>祁连52657</t>
  </si>
  <si>
    <t>38°11′</t>
  </si>
  <si>
    <t>100°15′</t>
  </si>
  <si>
    <t>23   19</t>
  </si>
  <si>
    <t>09.29--04.29</t>
  </si>
  <si>
    <t>09.12--05.21</t>
  </si>
  <si>
    <t>海东地区</t>
  </si>
  <si>
    <t>民和52876</t>
  </si>
  <si>
    <t>36°19′</t>
  </si>
  <si>
    <t>102°51′</t>
  </si>
  <si>
    <t>38   8</t>
  </si>
  <si>
    <t>40   10</t>
  </si>
  <si>
    <t xml:space="preserve">C   SE </t>
  </si>
  <si>
    <t>11.02--03.27</t>
  </si>
  <si>
    <t>10.15--04.05</t>
  </si>
  <si>
    <t>宁夏</t>
  </si>
  <si>
    <t>银川</t>
  </si>
  <si>
    <t>银川53614</t>
  </si>
  <si>
    <t>38°29′</t>
  </si>
  <si>
    <t>106°13′</t>
  </si>
  <si>
    <t>26   11</t>
  </si>
  <si>
    <t>23   9</t>
  </si>
  <si>
    <t>10.19--04.05</t>
  </si>
  <si>
    <t>石嘴山</t>
  </si>
  <si>
    <t>惠农53519</t>
  </si>
  <si>
    <t>39°13′</t>
  </si>
  <si>
    <t>19    8</t>
  </si>
  <si>
    <t>吴忠</t>
  </si>
  <si>
    <t>同心53810</t>
  </si>
  <si>
    <t>36°59′</t>
  </si>
  <si>
    <t>105°54′</t>
  </si>
  <si>
    <t>11.04--03.26</t>
  </si>
  <si>
    <t>10.19--04.04</t>
  </si>
  <si>
    <t>固原</t>
  </si>
  <si>
    <t>固原53817</t>
  </si>
  <si>
    <t>36°00′</t>
  </si>
  <si>
    <t>106°16′</t>
  </si>
  <si>
    <t>18   9</t>
  </si>
  <si>
    <t>10.10--04.16</t>
  </si>
  <si>
    <t>中卫</t>
  </si>
  <si>
    <t>中卫53704</t>
  </si>
  <si>
    <t>37   20</t>
  </si>
  <si>
    <t>11.02--03.26</t>
  </si>
  <si>
    <t>新疆</t>
  </si>
  <si>
    <t>乌鲁木齐</t>
  </si>
  <si>
    <t>乌鲁木齐51463</t>
  </si>
  <si>
    <t>43°47′</t>
  </si>
  <si>
    <t>87°37′</t>
  </si>
  <si>
    <t>29   10</t>
  </si>
  <si>
    <t>15    12</t>
  </si>
  <si>
    <t>10.24--03.30</t>
  </si>
  <si>
    <t>10.14--04.11</t>
  </si>
  <si>
    <t>克拉玛依</t>
  </si>
  <si>
    <t>克拉玛依51243</t>
  </si>
  <si>
    <t>45°37′</t>
  </si>
  <si>
    <t>84°51′</t>
  </si>
  <si>
    <t>49   7</t>
  </si>
  <si>
    <t>21   19</t>
  </si>
  <si>
    <t>10.31--03.26</t>
  </si>
  <si>
    <t>10.19--04.01</t>
  </si>
  <si>
    <t>吐鲁番</t>
  </si>
  <si>
    <t>吐鲁番51573</t>
  </si>
  <si>
    <t>42°56′</t>
  </si>
  <si>
    <t>89°12′</t>
  </si>
  <si>
    <t>11.07--03.04</t>
  </si>
  <si>
    <t>10.30--03.14</t>
  </si>
  <si>
    <t>哈密</t>
  </si>
  <si>
    <t>哈密52203</t>
  </si>
  <si>
    <t>42°49′</t>
  </si>
  <si>
    <t>93°31′</t>
  </si>
  <si>
    <t>10.31--03.20</t>
  </si>
  <si>
    <t>10.18--03.28</t>
  </si>
  <si>
    <t>和田</t>
  </si>
  <si>
    <t>和田51828</t>
  </si>
  <si>
    <t>37°08′</t>
  </si>
  <si>
    <t>79°56′</t>
  </si>
  <si>
    <t>31   8</t>
  </si>
  <si>
    <t xml:space="preserve">23   10 </t>
  </si>
  <si>
    <t>11.12--03.05</t>
  </si>
  <si>
    <t>11.03--03.14</t>
  </si>
  <si>
    <t>阿勒泰</t>
  </si>
  <si>
    <t>阿勒泰51076</t>
  </si>
  <si>
    <t>88°05′</t>
  </si>
  <si>
    <t>52   9</t>
  </si>
  <si>
    <t>10.08--04.15</t>
  </si>
  <si>
    <t>喀什地区</t>
  </si>
  <si>
    <t>喀什51709</t>
  </si>
  <si>
    <t>39°28′</t>
  </si>
  <si>
    <t>75°59′</t>
  </si>
  <si>
    <t>22   8</t>
  </si>
  <si>
    <t>44   9</t>
  </si>
  <si>
    <t>11.09--03.09</t>
  </si>
  <si>
    <t>10.30--03.17</t>
  </si>
  <si>
    <t>伊犁哈萨克自治州</t>
  </si>
  <si>
    <t>伊宁51431</t>
  </si>
  <si>
    <t>81°20′</t>
  </si>
  <si>
    <t>20   16</t>
  </si>
  <si>
    <t>38    14</t>
  </si>
  <si>
    <t>11.03--03.23</t>
  </si>
  <si>
    <t>10.20--03.29</t>
  </si>
  <si>
    <t>巴音郭楞蒙自治州</t>
  </si>
  <si>
    <t>库尔勒51656</t>
  </si>
  <si>
    <t>41°45′</t>
  </si>
  <si>
    <t>86°08′</t>
  </si>
  <si>
    <t>28   19</t>
  </si>
  <si>
    <t>38   19</t>
  </si>
  <si>
    <t>11.06--03.12</t>
  </si>
  <si>
    <t>10.24--03.22</t>
  </si>
  <si>
    <t>昌吉回族自治州</t>
  </si>
  <si>
    <t>奇台51379</t>
  </si>
  <si>
    <t>44°01′</t>
  </si>
  <si>
    <t>89°34′</t>
  </si>
  <si>
    <t>10.19--03.31</t>
  </si>
  <si>
    <t>10.09--04.13</t>
  </si>
  <si>
    <t>博尔塔拉蒙古自治州</t>
  </si>
  <si>
    <t>精河51334</t>
  </si>
  <si>
    <t>44°37′</t>
  </si>
  <si>
    <t>82°54′</t>
  </si>
  <si>
    <t>*参考26.2</t>
  </si>
  <si>
    <t>49   12</t>
  </si>
  <si>
    <t>37   13</t>
  </si>
  <si>
    <t>10.27--03.27</t>
  </si>
  <si>
    <t>10.16--04.03</t>
  </si>
  <si>
    <t>阿克苏地区</t>
  </si>
  <si>
    <t>阿克苏51628</t>
  </si>
  <si>
    <t>41°10′</t>
  </si>
  <si>
    <t>80°14′</t>
  </si>
  <si>
    <t>*参考25.7</t>
  </si>
  <si>
    <t>28   8</t>
  </si>
  <si>
    <t>11.04--03.07</t>
  </si>
  <si>
    <t>10.22--03.07</t>
  </si>
  <si>
    <t>塔城地区</t>
  </si>
  <si>
    <t>塔城51133</t>
  </si>
  <si>
    <t>46°44′</t>
  </si>
  <si>
    <t>83°00′</t>
  </si>
  <si>
    <t>*参考22.9</t>
  </si>
  <si>
    <t>22   22</t>
  </si>
  <si>
    <t>10.23--04.02</t>
  </si>
  <si>
    <t>克孜勒苏柯尔克孜自治州</t>
  </si>
  <si>
    <t>乌恰51705</t>
  </si>
  <si>
    <t>39°43′</t>
  </si>
  <si>
    <t>75°15′</t>
  </si>
  <si>
    <t>*参考19.4</t>
  </si>
  <si>
    <t>台湾、香港地区参考“采暖通风与空气调节室外气象参数(GBJ19-87 2001年版）”</t>
  </si>
  <si>
    <t>台湾地区</t>
  </si>
  <si>
    <t>台北</t>
  </si>
  <si>
    <t>25°02′</t>
  </si>
  <si>
    <t>121°31′</t>
  </si>
  <si>
    <t>1961-1980</t>
  </si>
  <si>
    <t>花莲</t>
  </si>
  <si>
    <t>121°37′</t>
  </si>
  <si>
    <t>25   20</t>
  </si>
  <si>
    <t>28   15</t>
  </si>
  <si>
    <t>恒春</t>
  </si>
  <si>
    <t>120°45′</t>
  </si>
  <si>
    <t>香港地区</t>
  </si>
  <si>
    <t>香港</t>
  </si>
  <si>
    <t>22°18′</t>
  </si>
  <si>
    <t>114°10′</t>
  </si>
  <si>
    <t>1951-1980</t>
  </si>
  <si>
    <t>（注：“参考”详见条文说明表19）</t>
  </si>
  <si>
    <t>使用说明：仅需根据项目情况输入黄色区域的参数</t>
  </si>
  <si>
    <t>C.0</t>
  </si>
  <si>
    <t>室外设计气象参数《GB50736-2012》</t>
  </si>
  <si>
    <t>Design Atmosphere Date of Outdoor</t>
  </si>
  <si>
    <t>从气象参数表中复制</t>
  </si>
  <si>
    <t xml:space="preserve">  </t>
  </si>
  <si>
    <t>设计地点</t>
  </si>
  <si>
    <t>地理位置</t>
  </si>
  <si>
    <r>
      <rPr>
        <sz val="10"/>
        <rFont val="宋体"/>
        <charset val="134"/>
      </rPr>
      <t>省/直辖市</t>
    </r>
    <r>
      <rPr>
        <sz val="10"/>
        <rFont val="宋体"/>
        <charset val="134"/>
      </rPr>
      <t>/自治区</t>
    </r>
  </si>
  <si>
    <t>Design location</t>
  </si>
  <si>
    <t>L</t>
  </si>
  <si>
    <t>—</t>
  </si>
  <si>
    <t>序号</t>
  </si>
  <si>
    <t>市/区/自治州</t>
  </si>
  <si>
    <t>气象台站信息</t>
  </si>
  <si>
    <t>台站名称</t>
  </si>
  <si>
    <t>Atmosphere station Name</t>
  </si>
  <si>
    <t>Northern latitude</t>
  </si>
  <si>
    <t>°</t>
  </si>
  <si>
    <t>East longitude</t>
  </si>
  <si>
    <t>海拔</t>
  </si>
  <si>
    <t>Height above sea level</t>
  </si>
  <si>
    <t>H</t>
  </si>
  <si>
    <t>m</t>
  </si>
  <si>
    <t>Year of date</t>
  </si>
  <si>
    <t>Y</t>
  </si>
  <si>
    <t>室外设计计算
温湿度</t>
  </si>
  <si>
    <t>全年</t>
  </si>
  <si>
    <t>年平均温度</t>
  </si>
  <si>
    <t>Average temperatures of year</t>
  </si>
  <si>
    <t>Ty</t>
  </si>
  <si>
    <t>℃</t>
  </si>
  <si>
    <t>供暖室外计算温度</t>
  </si>
  <si>
    <t>Heating bulb temperature</t>
  </si>
  <si>
    <t>HB</t>
  </si>
  <si>
    <t>通风室外计算温度</t>
  </si>
  <si>
    <t>EFtilated bulb temperature in winter</t>
  </si>
  <si>
    <t>VB</t>
  </si>
  <si>
    <t>空气调节室外计算温度</t>
  </si>
  <si>
    <t>Dry bulb temperature for AC  in winter</t>
  </si>
  <si>
    <t>DB</t>
  </si>
  <si>
    <t>空调调节相对湿度</t>
  </si>
  <si>
    <t>Relative humidity in winter</t>
  </si>
  <si>
    <t>RH</t>
  </si>
  <si>
    <t>%</t>
  </si>
  <si>
    <t>空气调节室外计算干球温度</t>
  </si>
  <si>
    <t>Dry bulb temperature for AC in summer</t>
  </si>
  <si>
    <t>空气调节室外计算湿球温度</t>
  </si>
  <si>
    <t>Wet bulb temperature for AC in summer</t>
  </si>
  <si>
    <t>WB</t>
  </si>
  <si>
    <t>EFtilated bulb temperature in summer</t>
  </si>
  <si>
    <t>通风室外计算相对湿度</t>
  </si>
  <si>
    <t>Relative humidity for EF in summer</t>
  </si>
  <si>
    <t>空调室外计算日平均温度</t>
  </si>
  <si>
    <t>Average temperatures for AC in summer</t>
  </si>
  <si>
    <t>Ts</t>
  </si>
  <si>
    <t>风向、
风速及
频率</t>
  </si>
  <si>
    <t>室外平均风速</t>
  </si>
  <si>
    <t>Outdoor mean wind speed in summer</t>
  </si>
  <si>
    <t>v</t>
  </si>
  <si>
    <r>
      <rPr>
        <sz val="10"/>
        <rFont val="Arial"/>
        <charset val="134"/>
      </rPr>
      <t>m</t>
    </r>
    <r>
      <rPr>
        <sz val="10"/>
        <rFont val="Arial"/>
        <charset val="134"/>
      </rPr>
      <t>/s</t>
    </r>
  </si>
  <si>
    <t>室外最多风向</t>
  </si>
  <si>
    <t>Wind direction in summer</t>
  </si>
  <si>
    <t>f</t>
  </si>
  <si>
    <t>室外最多风向频率</t>
  </si>
  <si>
    <t>Wind direction frequencly in summer</t>
  </si>
  <si>
    <t>室外最多风向平均风速</t>
  </si>
  <si>
    <t>Wind direction frequencly wind speed</t>
  </si>
  <si>
    <t>Outdoor mean wind speed in winter</t>
  </si>
  <si>
    <t>Wind direction in winter</t>
  </si>
  <si>
    <t>Wind direction frequencn in winter</t>
  </si>
  <si>
    <t xml:space="preserve">Wind direction frequencly wind speed </t>
  </si>
  <si>
    <t>WS</t>
  </si>
  <si>
    <t>Wind direction in year</t>
  </si>
  <si>
    <t>年最多风向频率</t>
  </si>
  <si>
    <t>Wind direction frequencnin year</t>
  </si>
  <si>
    <t>日照冻土</t>
  </si>
  <si>
    <t>日照百分率</t>
  </si>
  <si>
    <t>φ</t>
  </si>
  <si>
    <t>最大冻土深度</t>
  </si>
  <si>
    <t>h</t>
  </si>
  <si>
    <t>大气压力</t>
  </si>
  <si>
    <t>室外大气压力</t>
  </si>
  <si>
    <t>Barometric pressure in summer</t>
  </si>
  <si>
    <t>Ps</t>
  </si>
  <si>
    <t>hPa</t>
  </si>
  <si>
    <r>
      <rPr>
        <sz val="10"/>
        <color theme="1"/>
        <rFont val="Arial"/>
        <charset val="134"/>
      </rPr>
      <t>k</t>
    </r>
    <r>
      <rPr>
        <sz val="12"/>
        <rFont val="宋体"/>
        <charset val="134"/>
      </rPr>
      <t>pa</t>
    </r>
  </si>
  <si>
    <t>Barometric pressure in winter</t>
  </si>
  <si>
    <t>Pw</t>
  </si>
  <si>
    <t>d</t>
  </si>
  <si>
    <t>date</t>
  </si>
  <si>
    <t>平均温度≤+5℃期间内的平均温度</t>
  </si>
  <si>
    <t>Tc</t>
  </si>
  <si>
    <t>平均温度≤+8℃期间内的平均温度</t>
  </si>
  <si>
    <t>洁净室
极端气温</t>
  </si>
  <si>
    <t>极端最高气温</t>
  </si>
  <si>
    <t>Extreme temperature for CR in summer</t>
  </si>
  <si>
    <t>Tsj</t>
  </si>
  <si>
    <t>极端最低气温</t>
  </si>
  <si>
    <t>Extreme temperature for CR in winter</t>
  </si>
  <si>
    <t>Twj</t>
  </si>
  <si>
    <t>焓湿图-室外空调</t>
  </si>
  <si>
    <t>室外空调计算含湿量</t>
  </si>
  <si>
    <t>Air humidity for AC in summer</t>
  </si>
  <si>
    <t>d/kg</t>
  </si>
  <si>
    <t>此部分为根据已知参数计算输入量</t>
  </si>
  <si>
    <t>室外空调计算焓值</t>
  </si>
  <si>
    <t>Air enthalpy for AC in summer</t>
  </si>
  <si>
    <t>kJ/kg</t>
  </si>
  <si>
    <t>室外空调计算露点温度</t>
  </si>
  <si>
    <t>Dew-point bulb temperature for AC</t>
  </si>
  <si>
    <t>DP</t>
  </si>
  <si>
    <t>Air humidity for AC in winter</t>
  </si>
  <si>
    <t>HR</t>
  </si>
  <si>
    <t>Air enthalpy for AC in winter</t>
  </si>
  <si>
    <t>焓湿图-室外空调-洁净室</t>
  </si>
  <si>
    <t>室外空调计算极端含湿量</t>
  </si>
  <si>
    <t>Extreme air humidity for AC in summer</t>
  </si>
  <si>
    <t>dj</t>
  </si>
  <si>
    <t>此部分为查取中国气象数据集</t>
  </si>
  <si>
    <t>室外空调计算极端焓值</t>
  </si>
  <si>
    <t>Extreme air enthalpy for AC in summer</t>
  </si>
  <si>
    <t>hj</t>
  </si>
  <si>
    <t>Extreme air humidity for AC in winter</t>
  </si>
  <si>
    <t>Extreme air enthalpy for AC in winter</t>
  </si>
  <si>
    <t>房间编号</t>
  </si>
  <si>
    <t>2F-01</t>
  </si>
  <si>
    <t>2F-02</t>
  </si>
  <si>
    <t>合计</t>
  </si>
  <si>
    <t>常用室内设计参数</t>
  </si>
  <si>
    <r>
      <rPr>
        <sz val="10"/>
        <rFont val="宋体"/>
        <charset val="134"/>
      </rPr>
      <t>房间名</t>
    </r>
  </si>
  <si>
    <t>温度℃</t>
  </si>
  <si>
    <t>相对湿度%</t>
  </si>
  <si>
    <t>含湿量g/kg</t>
  </si>
  <si>
    <t>焓值</t>
  </si>
  <si>
    <t>室内露点温度</t>
  </si>
  <si>
    <t>面积</t>
  </si>
  <si>
    <t>m2</t>
  </si>
  <si>
    <t>吊顶高</t>
  </si>
  <si>
    <t>设计温度</t>
  </si>
  <si>
    <t>23±2</t>
  </si>
  <si>
    <t>设计湿度</t>
  </si>
  <si>
    <t>45±5</t>
  </si>
  <si>
    <t>净化级别</t>
  </si>
  <si>
    <t>CR</t>
  </si>
  <si>
    <t>ISO5.0</t>
  </si>
  <si>
    <t>控制粒径</t>
  </si>
  <si>
    <t>um</t>
  </si>
  <si>
    <t>压力</t>
  </si>
  <si>
    <t>Pa</t>
  </si>
  <si>
    <t>噪声</t>
  </si>
  <si>
    <t>dB(A)</t>
  </si>
  <si>
    <t>特殊要求</t>
  </si>
  <si>
    <t>URS</t>
  </si>
  <si>
    <t>室内设计参数（夏季）</t>
  </si>
  <si>
    <t>夏季计算温度</t>
  </si>
  <si>
    <t>夏季温度精度</t>
  </si>
  <si>
    <t>夏季计算湿度</t>
  </si>
  <si>
    <t>夏季湿度精度</t>
  </si>
  <si>
    <t>夏季室内含湿量</t>
  </si>
  <si>
    <t>g/kg</t>
  </si>
  <si>
    <t>夏季室内焓值</t>
  </si>
  <si>
    <t>kj/kg</t>
  </si>
  <si>
    <t>夏季室内露点温度</t>
  </si>
  <si>
    <t>室内设计参数（冬季）</t>
  </si>
  <si>
    <t>冬季计算温度</t>
  </si>
  <si>
    <t>冬季温度精度</t>
  </si>
  <si>
    <t>冬季计算湿度</t>
  </si>
  <si>
    <t>冬季湿度精度</t>
  </si>
  <si>
    <t>室内含湿量</t>
  </si>
  <si>
    <t>室内焓值</t>
  </si>
  <si>
    <t>房间名</t>
  </si>
  <si>
    <r>
      <rPr>
        <sz val="10"/>
        <rFont val="宋体"/>
        <charset val="134"/>
      </rPr>
      <t>单位</t>
    </r>
  </si>
  <si>
    <r>
      <rPr>
        <sz val="10"/>
        <rFont val="宋体"/>
        <charset val="134"/>
      </rPr>
      <t>合计</t>
    </r>
  </si>
  <si>
    <t>备注说明</t>
  </si>
  <si>
    <r>
      <rPr>
        <sz val="10"/>
        <rFont val="宋体"/>
        <charset val="134"/>
      </rPr>
      <t>面积</t>
    </r>
  </si>
  <si>
    <t>sm</t>
  </si>
  <si>
    <r>
      <rPr>
        <sz val="10"/>
        <rFont val="宋体"/>
        <charset val="134"/>
      </rPr>
      <t>吊顶高</t>
    </r>
  </si>
  <si>
    <r>
      <rPr>
        <sz val="10"/>
        <rFont val="宋体"/>
        <charset val="134"/>
      </rPr>
      <t>设计温度</t>
    </r>
  </si>
  <si>
    <t>°C</t>
  </si>
  <si>
    <r>
      <rPr>
        <sz val="10"/>
        <rFont val="宋体"/>
        <charset val="134"/>
      </rPr>
      <t>设计湿度</t>
    </r>
  </si>
  <si>
    <r>
      <rPr>
        <sz val="10"/>
        <rFont val="宋体"/>
        <charset val="134"/>
      </rPr>
      <t>净化级别</t>
    </r>
  </si>
  <si>
    <r>
      <rPr>
        <sz val="10"/>
        <rFont val="宋体"/>
        <charset val="134"/>
      </rPr>
      <t>控制粒径</t>
    </r>
  </si>
  <si>
    <r>
      <rPr>
        <sz val="10"/>
        <rFont val="宋体"/>
        <charset val="134"/>
      </rPr>
      <t>压力</t>
    </r>
  </si>
  <si>
    <r>
      <rPr>
        <sz val="10"/>
        <rFont val="宋体"/>
        <charset val="134"/>
      </rPr>
      <t>室内空气含湿量</t>
    </r>
  </si>
  <si>
    <r>
      <rPr>
        <sz val="10"/>
        <rFont val="宋体"/>
        <charset val="134"/>
      </rPr>
      <t>室内空气焓值</t>
    </r>
  </si>
  <si>
    <r>
      <rPr>
        <sz val="10"/>
        <rFont val="宋体"/>
        <charset val="134"/>
      </rPr>
      <t>室内空气露点温度</t>
    </r>
  </si>
  <si>
    <r>
      <rPr>
        <sz val="10"/>
        <rFont val="宋体"/>
        <charset val="134"/>
      </rPr>
      <t>洁净换气次数</t>
    </r>
  </si>
  <si>
    <t>ACH</t>
  </si>
  <si>
    <t>按净化级别，详见表格</t>
  </si>
  <si>
    <r>
      <rPr>
        <sz val="10"/>
        <rFont val="宋体"/>
        <charset val="134"/>
      </rPr>
      <t>洁净截面风速</t>
    </r>
  </si>
  <si>
    <t>m/s</t>
  </si>
  <si>
    <r>
      <rPr>
        <sz val="10"/>
        <rFont val="宋体"/>
        <charset val="134"/>
      </rPr>
      <t>洁净循环风量</t>
    </r>
  </si>
  <si>
    <t>CMH</t>
  </si>
  <si>
    <r>
      <rPr>
        <sz val="10"/>
        <rFont val="Arial"/>
        <charset val="134"/>
      </rPr>
      <t>FFU</t>
    </r>
    <r>
      <rPr>
        <sz val="10"/>
        <rFont val="宋体"/>
        <charset val="134"/>
      </rPr>
      <t>满布率</t>
    </r>
  </si>
  <si>
    <r>
      <rPr>
        <sz val="10"/>
        <rFont val="宋体"/>
        <charset val="134"/>
      </rPr>
      <t>人员数量</t>
    </r>
  </si>
  <si>
    <r>
      <rPr>
        <sz val="10"/>
        <rFont val="宋体"/>
        <charset val="134"/>
      </rPr>
      <t>人</t>
    </r>
  </si>
  <si>
    <r>
      <rPr>
        <sz val="10"/>
        <rFont val="宋体"/>
        <charset val="134"/>
      </rPr>
      <t>工艺热排风量</t>
    </r>
    <r>
      <rPr>
        <sz val="10"/>
        <rFont val="Arial"/>
        <charset val="134"/>
      </rPr>
      <t>-GEX</t>
    </r>
  </si>
  <si>
    <r>
      <rPr>
        <sz val="10"/>
        <rFont val="宋体"/>
        <charset val="134"/>
      </rPr>
      <t>工艺酸排风量</t>
    </r>
    <r>
      <rPr>
        <sz val="10"/>
        <rFont val="Arial"/>
        <charset val="134"/>
      </rPr>
      <t>-SEX</t>
    </r>
  </si>
  <si>
    <r>
      <rPr>
        <sz val="10"/>
        <rFont val="宋体"/>
        <charset val="134"/>
      </rPr>
      <t>工艺碱排风量</t>
    </r>
    <r>
      <rPr>
        <sz val="10"/>
        <rFont val="Arial"/>
        <charset val="134"/>
      </rPr>
      <t>-AEX</t>
    </r>
  </si>
  <si>
    <r>
      <rPr>
        <sz val="10"/>
        <rFont val="宋体"/>
        <charset val="134"/>
      </rPr>
      <t>工艺有机排风量</t>
    </r>
    <r>
      <rPr>
        <sz val="10"/>
        <rFont val="Arial"/>
        <charset val="134"/>
      </rPr>
      <t>-VEX</t>
    </r>
  </si>
  <si>
    <r>
      <rPr>
        <sz val="10"/>
        <rFont val="宋体"/>
        <charset val="134"/>
      </rPr>
      <t>一般全室排风-</t>
    </r>
    <r>
      <rPr>
        <sz val="10"/>
        <rFont val="Arial"/>
        <charset val="134"/>
      </rPr>
      <t>CEX</t>
    </r>
  </si>
  <si>
    <t>室内正压风量（按经验公式）</t>
  </si>
  <si>
    <t>正压风量换气次数</t>
  </si>
  <si>
    <t>室内正压风量（按换气次数）</t>
  </si>
  <si>
    <t>室内正压风量(取大值）</t>
  </si>
  <si>
    <t>人员新风量指标</t>
  </si>
  <si>
    <r>
      <rPr>
        <sz val="10"/>
        <rFont val="Arial"/>
        <charset val="134"/>
      </rPr>
      <t>CMH/</t>
    </r>
    <r>
      <rPr>
        <sz val="10"/>
        <rFont val="宋体"/>
        <charset val="134"/>
      </rPr>
      <t>人</t>
    </r>
  </si>
  <si>
    <r>
      <rPr>
        <sz val="10"/>
        <rFont val="宋体"/>
        <charset val="134"/>
      </rPr>
      <t>人员新风量</t>
    </r>
  </si>
  <si>
    <t>人员湿负荷指标</t>
  </si>
  <si>
    <r>
      <rPr>
        <sz val="10"/>
        <rFont val="Arial"/>
        <charset val="134"/>
      </rPr>
      <t>g/h/</t>
    </r>
    <r>
      <rPr>
        <sz val="10"/>
        <rFont val="宋体"/>
        <charset val="134"/>
      </rPr>
      <t>人</t>
    </r>
  </si>
  <si>
    <r>
      <rPr>
        <sz val="10"/>
        <rFont val="宋体"/>
        <charset val="134"/>
      </rPr>
      <t>人员湿负荷</t>
    </r>
  </si>
  <si>
    <t>g/h</t>
  </si>
  <si>
    <t>室内冷负荷计算</t>
  </si>
  <si>
    <t>夏冬季</t>
  </si>
  <si>
    <r>
      <rPr>
        <sz val="10"/>
        <rFont val="宋体"/>
        <charset val="134"/>
      </rPr>
      <t>维护结构冷负荷指标</t>
    </r>
  </si>
  <si>
    <t>w/m2</t>
  </si>
  <si>
    <r>
      <rPr>
        <sz val="10"/>
        <rFont val="宋体"/>
        <charset val="134"/>
      </rPr>
      <t>维护结构冷负荷</t>
    </r>
  </si>
  <si>
    <t>Kw</t>
  </si>
  <si>
    <t>维护结构热负荷指标</t>
  </si>
  <si>
    <t>维护结构热负荷</t>
  </si>
  <si>
    <t>人员冷负荷指标</t>
  </si>
  <si>
    <r>
      <rPr>
        <sz val="10"/>
        <rFont val="Arial"/>
        <charset val="134"/>
      </rPr>
      <t>w/</t>
    </r>
    <r>
      <rPr>
        <sz val="10"/>
        <rFont val="宋体"/>
        <charset val="134"/>
      </rPr>
      <t>人</t>
    </r>
  </si>
  <si>
    <t>人员冷负荷(显热)</t>
  </si>
  <si>
    <r>
      <rPr>
        <sz val="10"/>
        <rFont val="宋体"/>
        <charset val="134"/>
      </rPr>
      <t>灯光冷负荷</t>
    </r>
  </si>
  <si>
    <r>
      <rPr>
        <sz val="10"/>
        <rFont val="Arial"/>
        <charset val="134"/>
      </rPr>
      <t>FFU</t>
    </r>
    <r>
      <rPr>
        <sz val="10"/>
        <rFont val="宋体"/>
        <charset val="134"/>
      </rPr>
      <t>冷负荷</t>
    </r>
  </si>
  <si>
    <t>工艺设备计算冷负荷</t>
  </si>
  <si>
    <t>工艺设备负荷指标</t>
  </si>
  <si>
    <r>
      <rPr>
        <sz val="10"/>
        <rFont val="宋体"/>
        <charset val="134"/>
      </rPr>
      <t>工艺设备冷负荷</t>
    </r>
    <r>
      <rPr>
        <sz val="10"/>
        <rFont val="Arial"/>
        <charset val="134"/>
      </rPr>
      <t>-</t>
    </r>
    <r>
      <rPr>
        <sz val="10"/>
        <rFont val="宋体"/>
        <charset val="134"/>
      </rPr>
      <t>面积指标法</t>
    </r>
  </si>
  <si>
    <t>kw</t>
  </si>
  <si>
    <t>工艺设备配电总功率（电动）</t>
  </si>
  <si>
    <r>
      <rPr>
        <sz val="10"/>
        <rFont val="宋体"/>
        <charset val="134"/>
      </rPr>
      <t>综合计算系数</t>
    </r>
  </si>
  <si>
    <r>
      <rPr>
        <sz val="8"/>
        <rFont val="宋体"/>
        <charset val="134"/>
      </rPr>
      <t>半导体按</t>
    </r>
    <r>
      <rPr>
        <sz val="8"/>
        <rFont val="Arial"/>
        <charset val="134"/>
      </rPr>
      <t>0.3-0.35</t>
    </r>
    <r>
      <rPr>
        <sz val="8"/>
        <rFont val="宋体"/>
        <charset val="134"/>
      </rPr>
      <t>，面板按</t>
    </r>
    <r>
      <rPr>
        <sz val="8"/>
        <rFont val="Arial"/>
        <charset val="134"/>
      </rPr>
      <t>0.25-0.3</t>
    </r>
  </si>
  <si>
    <t>工艺设备配电总功率（电热）</t>
  </si>
  <si>
    <r>
      <rPr>
        <sz val="8"/>
        <rFont val="宋体"/>
        <charset val="134"/>
      </rPr>
      <t>半导体按</t>
    </r>
    <r>
      <rPr>
        <sz val="8"/>
        <rFont val="Arial"/>
        <charset val="134"/>
      </rPr>
      <t>0.25-0.3</t>
    </r>
    <r>
      <rPr>
        <sz val="8"/>
        <rFont val="宋体"/>
        <charset val="134"/>
      </rPr>
      <t>，面板按</t>
    </r>
    <r>
      <rPr>
        <sz val="8"/>
        <rFont val="Arial"/>
        <charset val="134"/>
      </rPr>
      <t>0.2-0.25</t>
    </r>
  </si>
  <si>
    <t>工艺冷却水流量</t>
  </si>
  <si>
    <t>冷却水带走热量系数</t>
  </si>
  <si>
    <t>冷却水带走冷量</t>
  </si>
  <si>
    <t>暂按6℃温差考虑</t>
  </si>
  <si>
    <r>
      <rPr>
        <sz val="10"/>
        <rFont val="宋体"/>
        <charset val="134"/>
      </rPr>
      <t>夏季室内总冷负荷</t>
    </r>
  </si>
  <si>
    <r>
      <rPr>
        <sz val="10"/>
        <rFont val="宋体"/>
        <charset val="134"/>
      </rPr>
      <t>单位面积冷负荷</t>
    </r>
  </si>
  <si>
    <t>冬季室内总冷负荷</t>
  </si>
  <si>
    <t>负值代表房间要加热</t>
  </si>
  <si>
    <t>风量计算</t>
  </si>
  <si>
    <r>
      <rPr>
        <sz val="10"/>
        <rFont val="宋体"/>
        <charset val="134"/>
      </rPr>
      <t>新风空调送来新风温度</t>
    </r>
  </si>
  <si>
    <t>新风空调送来新风含湿量</t>
  </si>
  <si>
    <t>新风空调送来新风焓值</t>
  </si>
  <si>
    <r>
      <rPr>
        <sz val="10"/>
        <rFont val="宋体"/>
        <charset val="134"/>
      </rPr>
      <t>处理湿负荷需新风量</t>
    </r>
  </si>
  <si>
    <t>DCC进出风温差</t>
  </si>
  <si>
    <t>干盘管处理送风温差按3-4℃考虑</t>
  </si>
  <si>
    <t>洁净计算所需送风量</t>
  </si>
  <si>
    <t>冷负荷计算所需DCC进风量</t>
  </si>
  <si>
    <t>冷负荷计算所需送风量</t>
  </si>
  <si>
    <r>
      <rPr>
        <sz val="10"/>
        <rFont val="宋体"/>
        <charset val="134"/>
      </rPr>
      <t>设计送风风量</t>
    </r>
  </si>
  <si>
    <t>设计换气次数</t>
  </si>
  <si>
    <t>校核送风与室内温差</t>
  </si>
  <si>
    <r>
      <rPr>
        <sz val="10"/>
        <rFont val="宋体"/>
        <charset val="134"/>
      </rPr>
      <t>设计新风量</t>
    </r>
  </si>
  <si>
    <r>
      <rPr>
        <sz val="10"/>
        <rFont val="宋体"/>
        <charset val="134"/>
      </rPr>
      <t>新风比</t>
    </r>
  </si>
  <si>
    <t>DCC回风量</t>
  </si>
  <si>
    <t>FFU计算</t>
  </si>
  <si>
    <r>
      <rPr>
        <sz val="10"/>
        <rFont val="Arial"/>
        <charset val="134"/>
      </rPr>
      <t>FFU</t>
    </r>
    <r>
      <rPr>
        <sz val="10"/>
        <rFont val="宋体"/>
        <charset val="134"/>
      </rPr>
      <t>尺寸（过滤器尺寸）</t>
    </r>
  </si>
  <si>
    <t>mm</t>
  </si>
  <si>
    <r>
      <rPr>
        <sz val="10"/>
        <rFont val="宋体"/>
        <charset val="134"/>
      </rPr>
      <t>截面风速</t>
    </r>
  </si>
  <si>
    <r>
      <rPr>
        <sz val="10"/>
        <rFont val="宋体"/>
        <charset val="134"/>
      </rPr>
      <t>单个风量</t>
    </r>
  </si>
  <si>
    <r>
      <rPr>
        <sz val="10"/>
        <rFont val="Arial"/>
        <charset val="134"/>
      </rPr>
      <t>FFU</t>
    </r>
    <r>
      <rPr>
        <sz val="10"/>
        <rFont val="宋体"/>
        <charset val="134"/>
      </rPr>
      <t>需布置台数</t>
    </r>
  </si>
  <si>
    <t>pcs</t>
  </si>
  <si>
    <r>
      <rPr>
        <sz val="10"/>
        <rFont val="宋体"/>
        <charset val="134"/>
      </rPr>
      <t>实际布置台数</t>
    </r>
  </si>
  <si>
    <r>
      <rPr>
        <sz val="10"/>
        <rFont val="Arial"/>
        <charset val="134"/>
      </rPr>
      <t>FFU</t>
    </r>
    <r>
      <rPr>
        <sz val="10"/>
        <rFont val="宋体"/>
        <charset val="134"/>
      </rPr>
      <t>核算满布率</t>
    </r>
  </si>
  <si>
    <t>高架地板开孔率</t>
  </si>
  <si>
    <r>
      <rPr>
        <sz val="8"/>
        <rFont val="宋体"/>
        <charset val="134"/>
      </rPr>
      <t>风速按</t>
    </r>
    <r>
      <rPr>
        <sz val="8"/>
        <rFont val="Arial"/>
        <charset val="134"/>
      </rPr>
      <t>1.5-2m/s</t>
    </r>
    <r>
      <rPr>
        <sz val="8"/>
        <rFont val="宋体"/>
        <charset val="134"/>
      </rPr>
      <t>算,压差在5Pa</t>
    </r>
  </si>
  <si>
    <t>开孔高架地板布置率</t>
  </si>
  <si>
    <r>
      <rPr>
        <sz val="10"/>
        <rFont val="宋体"/>
        <charset val="134"/>
      </rPr>
      <t>干盘管计算压损</t>
    </r>
  </si>
  <si>
    <r>
      <rPr>
        <sz val="10"/>
        <rFont val="宋体"/>
        <charset val="134"/>
      </rPr>
      <t>回风百叶计算压损</t>
    </r>
  </si>
  <si>
    <r>
      <rPr>
        <sz val="10"/>
        <rFont val="宋体"/>
        <charset val="134"/>
      </rPr>
      <t>高效过滤器压损</t>
    </r>
  </si>
  <si>
    <r>
      <rPr>
        <sz val="10"/>
        <rFont val="宋体"/>
        <charset val="134"/>
      </rPr>
      <t>初效过滤器压损</t>
    </r>
  </si>
  <si>
    <t>回风道压损</t>
  </si>
  <si>
    <r>
      <rPr>
        <sz val="10"/>
        <rFont val="Arial"/>
        <charset val="134"/>
      </rPr>
      <t>FFU</t>
    </r>
    <r>
      <rPr>
        <sz val="10"/>
        <rFont val="宋体"/>
        <charset val="134"/>
      </rPr>
      <t>风机计算全压</t>
    </r>
  </si>
  <si>
    <r>
      <rPr>
        <sz val="10"/>
        <rFont val="Arial"/>
        <charset val="134"/>
      </rPr>
      <t>FFU</t>
    </r>
    <r>
      <rPr>
        <sz val="10"/>
        <rFont val="宋体"/>
        <charset val="134"/>
      </rPr>
      <t>风机计算功率</t>
    </r>
  </si>
  <si>
    <r>
      <rPr>
        <sz val="10"/>
        <rFont val="Arial"/>
        <charset val="134"/>
      </rPr>
      <t>FFU</t>
    </r>
    <r>
      <rPr>
        <sz val="10"/>
        <rFont val="宋体"/>
        <charset val="134"/>
      </rPr>
      <t>配电总功率</t>
    </r>
  </si>
  <si>
    <t>DC计算</t>
  </si>
  <si>
    <r>
      <rPr>
        <sz val="10"/>
        <rFont val="宋体"/>
        <charset val="134"/>
      </rPr>
      <t>单台干盘管尺寸</t>
    </r>
  </si>
  <si>
    <t>干盘管迎面风速</t>
  </si>
  <si>
    <t>干盘管计算需布置数量</t>
  </si>
  <si>
    <t>按2m/s</t>
  </si>
  <si>
    <t>干盘管实际布置台数</t>
  </si>
  <si>
    <r>
      <rPr>
        <sz val="10"/>
        <rFont val="宋体"/>
        <charset val="134"/>
      </rPr>
      <t>单台干盘管处理风量</t>
    </r>
  </si>
  <si>
    <t>单台干盘管需处理冷量</t>
  </si>
  <si>
    <t>不考虑新风负荷</t>
  </si>
  <si>
    <t>干盘管进出水温差</t>
  </si>
  <si>
    <t>单台干盘管水量</t>
  </si>
  <si>
    <t>m3/h</t>
  </si>
  <si>
    <t>按5度温差</t>
  </si>
  <si>
    <t>干盘管实际迎面风速</t>
  </si>
  <si>
    <r>
      <rPr>
        <sz val="8"/>
        <rFont val="宋体"/>
        <charset val="134"/>
      </rPr>
      <t>小于</t>
    </r>
    <r>
      <rPr>
        <sz val="8"/>
        <rFont val="Arial"/>
        <charset val="134"/>
      </rPr>
      <t>2</t>
    </r>
  </si>
  <si>
    <t>干盘管送回风实际温差</t>
  </si>
  <si>
    <t>回风夹道计算</t>
  </si>
  <si>
    <r>
      <rPr>
        <sz val="10"/>
        <rFont val="宋体"/>
        <charset val="134"/>
      </rPr>
      <t>回风夹道计算面积</t>
    </r>
  </si>
  <si>
    <r>
      <rPr>
        <sz val="10"/>
        <rFont val="宋体"/>
        <charset val="134"/>
      </rPr>
      <t>回风夹道宽度</t>
    </r>
  </si>
  <si>
    <r>
      <rPr>
        <sz val="10"/>
        <rFont val="宋体"/>
        <charset val="134"/>
      </rPr>
      <t>回风夹道计算长度</t>
    </r>
  </si>
  <si>
    <r>
      <rPr>
        <sz val="10"/>
        <rFont val="宋体"/>
        <charset val="134"/>
      </rPr>
      <t>回风夹道实际长度</t>
    </r>
  </si>
  <si>
    <r>
      <rPr>
        <sz val="10"/>
        <rFont val="宋体"/>
        <charset val="134"/>
      </rPr>
      <t>回风夹道核算面积</t>
    </r>
  </si>
  <si>
    <r>
      <rPr>
        <sz val="10"/>
        <rFont val="宋体"/>
        <charset val="134"/>
      </rPr>
      <t>核算截面风速</t>
    </r>
  </si>
  <si>
    <r>
      <rPr>
        <sz val="10"/>
        <rFont val="宋体"/>
        <charset val="134"/>
      </rPr>
      <t>百叶尺寸</t>
    </r>
    <r>
      <rPr>
        <sz val="10"/>
        <rFont val="Arial"/>
        <charset val="134"/>
      </rPr>
      <t>-</t>
    </r>
    <r>
      <rPr>
        <sz val="10"/>
        <rFont val="宋体"/>
        <charset val="134"/>
      </rPr>
      <t>高</t>
    </r>
  </si>
  <si>
    <r>
      <rPr>
        <sz val="10"/>
        <rFont val="宋体"/>
        <charset val="134"/>
      </rPr>
      <t>百叶尺寸</t>
    </r>
    <r>
      <rPr>
        <sz val="10"/>
        <rFont val="Arial"/>
        <charset val="134"/>
      </rPr>
      <t>-</t>
    </r>
    <r>
      <rPr>
        <sz val="10"/>
        <rFont val="宋体"/>
        <charset val="134"/>
      </rPr>
      <t>宽</t>
    </r>
  </si>
  <si>
    <r>
      <rPr>
        <sz val="10"/>
        <rFont val="宋体"/>
        <charset val="134"/>
      </rPr>
      <t>百叶迎面风速</t>
    </r>
  </si>
  <si>
    <r>
      <rPr>
        <sz val="10"/>
        <rFont val="宋体"/>
        <charset val="134"/>
      </rPr>
      <t>百叶计算面积</t>
    </r>
  </si>
  <si>
    <r>
      <rPr>
        <sz val="10"/>
        <rFont val="宋体"/>
        <charset val="134"/>
      </rPr>
      <t>百叶个数</t>
    </r>
  </si>
  <si>
    <r>
      <rPr>
        <sz val="10"/>
        <rFont val="宋体"/>
        <charset val="134"/>
      </rPr>
      <t>洁净壁板标准板数量</t>
    </r>
  </si>
  <si>
    <r>
      <rPr>
        <sz val="10"/>
        <rFont val="宋体"/>
        <charset val="134"/>
      </rPr>
      <t>设计百叶个数</t>
    </r>
  </si>
  <si>
    <r>
      <rPr>
        <sz val="10"/>
        <rFont val="宋体"/>
        <charset val="134"/>
      </rPr>
      <t>核算迎面风速</t>
    </r>
  </si>
  <si>
    <r>
      <rPr>
        <sz val="10"/>
        <rFont val="宋体"/>
        <charset val="134"/>
      </rPr>
      <t>静压箱层高度（梁下）</t>
    </r>
  </si>
  <si>
    <r>
      <rPr>
        <sz val="10"/>
        <rFont val="宋体"/>
        <charset val="134"/>
      </rPr>
      <t>回风旁通风阀尺寸</t>
    </r>
    <r>
      <rPr>
        <sz val="10"/>
        <rFont val="Arial"/>
        <charset val="134"/>
      </rPr>
      <t>-</t>
    </r>
    <r>
      <rPr>
        <sz val="10"/>
        <rFont val="宋体"/>
        <charset val="134"/>
      </rPr>
      <t>长</t>
    </r>
  </si>
  <si>
    <r>
      <rPr>
        <sz val="10"/>
        <rFont val="宋体"/>
        <charset val="134"/>
      </rPr>
      <t>回风旁通风阀尺寸</t>
    </r>
    <r>
      <rPr>
        <sz val="10"/>
        <rFont val="Arial"/>
        <charset val="134"/>
      </rPr>
      <t>-</t>
    </r>
    <r>
      <rPr>
        <sz val="10"/>
        <rFont val="宋体"/>
        <charset val="134"/>
      </rPr>
      <t>宽</t>
    </r>
  </si>
  <si>
    <r>
      <rPr>
        <sz val="10"/>
        <rFont val="宋体"/>
        <charset val="134"/>
      </rPr>
      <t>回风旁通风阀个数</t>
    </r>
  </si>
  <si>
    <r>
      <rPr>
        <sz val="10"/>
        <rFont val="宋体"/>
        <charset val="134"/>
      </rPr>
      <t>需静压箱层封板面积</t>
    </r>
  </si>
  <si>
    <r>
      <rPr>
        <sz val="10"/>
        <rFont val="宋体"/>
        <charset val="134"/>
      </rPr>
      <t>综合核算静压箱回风风速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</si>
</sst>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"/>
    <numFmt numFmtId="177" formatCode="_-* #,##0.00\ [$€-1]_-;\-* #,##0.00\ [$€-1]_-;_-* &quot;-&quot;??\ [$€-1]_-"/>
    <numFmt numFmtId="178" formatCode="0.00_ "/>
    <numFmt numFmtId="179" formatCode="_(\¥* #,##0.00_);_(\¥* \(#,##0.00\);_(\¥* &quot;-&quot;??_);_(@_)"/>
    <numFmt numFmtId="180" formatCode="_(* #,##0_);_(* \(#,##0\);_(* &quot;-&quot;_);_(@_)"/>
    <numFmt numFmtId="181" formatCode="_(* #,##0.00_);_(* \(#,##0.00\);_(* &quot;-&quot;??_);_(@_)"/>
    <numFmt numFmtId="182" formatCode="_-* #,##0_-;\-* #,##0_-;_-* &quot;-&quot;_-;_-@_-"/>
    <numFmt numFmtId="183" formatCode="#,##0_ ;[Red]\-#,##0\ "/>
    <numFmt numFmtId="184" formatCode="#,##0.0_ ;[Red]\-#,##0.0\ "/>
    <numFmt numFmtId="185" formatCode="0.0_ "/>
    <numFmt numFmtId="186" formatCode="0.0%"/>
    <numFmt numFmtId="187" formatCode="0.0"/>
    <numFmt numFmtId="188" formatCode="#,##0.00_ ;[Red]\-#,##0.00\ "/>
    <numFmt numFmtId="189" formatCode="0.0_);[Red]\(0.0\)"/>
    <numFmt numFmtId="190" formatCode="0_);[Red]\(0\)"/>
    <numFmt numFmtId="191" formatCode="#,##0_ "/>
    <numFmt numFmtId="192" formatCode="0.0_ ;[Red]\-0.0\ "/>
    <numFmt numFmtId="193" formatCode="0.00_ ;[Red]\-0.00\ "/>
  </numFmts>
  <fonts count="97">
    <font>
      <sz val="12"/>
      <name val="宋体"/>
      <charset val="134"/>
    </font>
    <font>
      <sz val="12"/>
      <name val="Arial"/>
      <charset val="134"/>
    </font>
    <font>
      <sz val="12"/>
      <color rgb="FFFF0000"/>
      <name val="Arial"/>
      <charset val="134"/>
    </font>
    <font>
      <sz val="12"/>
      <color theme="0"/>
      <name val="Arial"/>
      <charset val="134"/>
    </font>
    <font>
      <b/>
      <sz val="12"/>
      <color rgb="FF7030A0"/>
      <name val="宋体"/>
      <charset val="134"/>
    </font>
    <font>
      <u/>
      <sz val="12"/>
      <color rgb="FF800080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8"/>
      <name val="Arial"/>
      <charset val="134"/>
    </font>
    <font>
      <sz val="8"/>
      <name val="宋体"/>
      <charset val="134"/>
    </font>
    <font>
      <sz val="10"/>
      <color rgb="FFFF0000"/>
      <name val="Arial"/>
      <charset val="134"/>
    </font>
    <font>
      <b/>
      <sz val="12"/>
      <color rgb="FFC00000"/>
      <name val="宋体"/>
      <charset val="134"/>
    </font>
    <font>
      <sz val="8"/>
      <color rgb="FFFF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0"/>
      <color theme="1"/>
      <name val="宋体"/>
      <charset val="134"/>
    </font>
    <font>
      <sz val="8"/>
      <color theme="1"/>
      <name val="Arial"/>
      <charset val="134"/>
    </font>
    <font>
      <sz val="10"/>
      <color rgb="FFC00000"/>
      <name val="Arial"/>
      <charset val="134"/>
    </font>
    <font>
      <sz val="8"/>
      <color rgb="FFC00000"/>
      <name val="Arial"/>
      <charset val="134"/>
    </font>
    <font>
      <sz val="6"/>
      <name val="方正黑体简体"/>
      <charset val="134"/>
    </font>
    <font>
      <sz val="6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0"/>
      <color theme="0"/>
      <name val="Arial"/>
      <charset val="134"/>
    </font>
    <font>
      <sz val="8"/>
      <color theme="0"/>
      <name val="Arial"/>
      <charset val="134"/>
    </font>
    <font>
      <b/>
      <u/>
      <sz val="12"/>
      <color rgb="FF800080"/>
      <name val="宋体"/>
      <charset val="134"/>
    </font>
    <font>
      <sz val="14"/>
      <name val="Arial"/>
      <charset val="134"/>
    </font>
    <font>
      <sz val="11"/>
      <name val="Arial"/>
      <charset val="134"/>
    </font>
    <font>
      <sz val="10"/>
      <name val="Times New Roman"/>
      <charset val="134"/>
    </font>
    <font>
      <b/>
      <sz val="12"/>
      <name val="Arial"/>
      <charset val="134"/>
    </font>
    <font>
      <sz val="10"/>
      <color rgb="FFFF0000"/>
      <name val="宋体"/>
      <charset val="134"/>
    </font>
    <font>
      <sz val="28"/>
      <name val="楷体_GB2312"/>
      <charset val="134"/>
    </font>
    <font>
      <sz val="20"/>
      <name val="楷体_GB2312"/>
      <charset val="134"/>
    </font>
    <font>
      <sz val="18"/>
      <name val="楷体_GB2312"/>
      <charset val="134"/>
    </font>
    <font>
      <sz val="16"/>
      <name val="楷体_GB2312"/>
      <charset val="134"/>
    </font>
    <font>
      <sz val="14"/>
      <name val="楷体_GB2312"/>
      <charset val="134"/>
    </font>
    <font>
      <sz val="20"/>
      <name val="仿宋_GB2312"/>
      <charset val="134"/>
    </font>
    <font>
      <sz val="14"/>
      <name val="宋体"/>
      <charset val="134"/>
    </font>
    <font>
      <sz val="16"/>
      <name val="宋体"/>
      <charset val="134"/>
    </font>
    <font>
      <sz val="22"/>
      <name val="楷体_GB2312"/>
      <charset val="134"/>
    </font>
    <font>
      <sz val="12"/>
      <name val="楷体_GB2312"/>
      <charset val="134"/>
    </font>
    <font>
      <b/>
      <sz val="18"/>
      <name val="宋体"/>
      <charset val="134"/>
    </font>
    <font>
      <u/>
      <sz val="12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u/>
      <sz val="11"/>
      <color indexed="12"/>
      <name val="Arial"/>
      <charset val="134"/>
    </font>
    <font>
      <b/>
      <i/>
      <sz val="16"/>
      <name val="Helv"/>
      <charset val="134"/>
    </font>
    <font>
      <sz val="10"/>
      <name val="Verdana"/>
      <charset val="134"/>
    </font>
    <font>
      <sz val="10"/>
      <name val="ＭＳ ゴシック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0"/>
      <color indexed="8"/>
      <name val="MS Sans Serif"/>
      <charset val="134"/>
    </font>
    <font>
      <sz val="11"/>
      <color indexed="20"/>
      <name val="宋体"/>
      <charset val="134"/>
    </font>
    <font>
      <sz val="11"/>
      <color rgb="FF9C0006"/>
      <name val="宋体"/>
      <charset val="134"/>
      <scheme val="minor"/>
    </font>
    <font>
      <sz val="12"/>
      <name val="新細明體"/>
      <charset val="134"/>
    </font>
    <font>
      <sz val="9"/>
      <name val="Verdana"/>
      <charset val="134"/>
    </font>
    <font>
      <sz val="12"/>
      <name val="Times New Roman"/>
      <charset val="134"/>
    </font>
    <font>
      <sz val="12"/>
      <color indexed="8"/>
      <name val="宋体"/>
      <charset val="134"/>
    </font>
    <font>
      <u/>
      <sz val="12"/>
      <color indexed="12"/>
      <name val="宋体"/>
      <charset val="134"/>
    </font>
    <font>
      <u/>
      <sz val="11"/>
      <color theme="1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name val="Times New Roman"/>
      <charset val="134"/>
    </font>
    <font>
      <sz val="11"/>
      <color theme="0"/>
      <name val="宋体"/>
      <charset val="134"/>
      <scheme val="minor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1"/>
      <color rgb="FF3F3F76"/>
      <name val="宋体"/>
      <charset val="134"/>
      <scheme val="minor"/>
    </font>
    <font>
      <sz val="14"/>
      <name val="ＭＳ 明朝"/>
      <charset val="134"/>
    </font>
    <font>
      <sz val="28"/>
      <name val="仿宋_GB2312"/>
      <charset val="134"/>
    </font>
  </fonts>
  <fills count="9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95">
    <xf numFmtId="0" fontId="0" fillId="0" borderId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24" fillId="45" borderId="44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50" fillId="0" borderId="45" applyNumberFormat="0" applyFill="0" applyAlignment="0" applyProtection="0">
      <alignment vertical="center"/>
    </xf>
    <xf numFmtId="0" fontId="51" fillId="0" borderId="46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46" borderId="47" applyNumberFormat="0" applyAlignment="0" applyProtection="0">
      <alignment vertical="center"/>
    </xf>
    <xf numFmtId="0" fontId="53" fillId="47" borderId="48" applyNumberFormat="0" applyAlignment="0" applyProtection="0">
      <alignment vertical="center"/>
    </xf>
    <xf numFmtId="0" fontId="54" fillId="47" borderId="47" applyNumberFormat="0" applyAlignment="0" applyProtection="0">
      <alignment vertical="center"/>
    </xf>
    <xf numFmtId="0" fontId="55" fillId="48" borderId="49" applyNumberFormat="0" applyAlignment="0" applyProtection="0">
      <alignment vertical="center"/>
    </xf>
    <xf numFmtId="0" fontId="56" fillId="0" borderId="50" applyNumberFormat="0" applyFill="0" applyAlignment="0" applyProtection="0">
      <alignment vertical="center"/>
    </xf>
    <xf numFmtId="0" fontId="57" fillId="0" borderId="51" applyNumberFormat="0" applyFill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2" fillId="53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2" fillId="57" borderId="0" applyNumberFormat="0" applyBorder="0" applyAlignment="0" applyProtection="0">
      <alignment vertical="center"/>
    </xf>
    <xf numFmtId="0" fontId="62" fillId="58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2" fillId="61" borderId="0" applyNumberFormat="0" applyBorder="0" applyAlignment="0" applyProtection="0">
      <alignment vertical="center"/>
    </xf>
    <xf numFmtId="0" fontId="62" fillId="62" borderId="0" applyNumberFormat="0" applyBorder="0" applyAlignment="0" applyProtection="0">
      <alignment vertical="center"/>
    </xf>
    <xf numFmtId="0" fontId="61" fillId="63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2" fillId="65" borderId="0" applyNumberFormat="0" applyBorder="0" applyAlignment="0" applyProtection="0">
      <alignment vertical="center"/>
    </xf>
    <xf numFmtId="0" fontId="62" fillId="66" borderId="0" applyNumberFormat="0" applyBorder="0" applyAlignment="0" applyProtection="0">
      <alignment vertical="center"/>
    </xf>
    <xf numFmtId="0" fontId="61" fillId="67" borderId="0" applyNumberFormat="0" applyBorder="0" applyAlignment="0" applyProtection="0">
      <alignment vertical="center"/>
    </xf>
    <xf numFmtId="0" fontId="61" fillId="68" borderId="0" applyNumberFormat="0" applyBorder="0" applyAlignment="0" applyProtection="0">
      <alignment vertical="center"/>
    </xf>
    <xf numFmtId="0" fontId="62" fillId="69" borderId="0" applyNumberFormat="0" applyBorder="0" applyAlignment="0" applyProtection="0">
      <alignment vertical="center"/>
    </xf>
    <xf numFmtId="0" fontId="62" fillId="70" borderId="0" applyNumberFormat="0" applyBorder="0" applyAlignment="0" applyProtection="0">
      <alignment vertical="center"/>
    </xf>
    <xf numFmtId="0" fontId="61" fillId="71" borderId="0" applyNumberFormat="0" applyBorder="0" applyAlignment="0" applyProtection="0">
      <alignment vertical="center"/>
    </xf>
    <xf numFmtId="0" fontId="61" fillId="72" borderId="0" applyNumberFormat="0" applyBorder="0" applyAlignment="0" applyProtection="0">
      <alignment vertical="center"/>
    </xf>
    <xf numFmtId="0" fontId="62" fillId="73" borderId="0" applyNumberFormat="0" applyBorder="0" applyAlignment="0" applyProtection="0">
      <alignment vertical="center"/>
    </xf>
    <xf numFmtId="0" fontId="62" fillId="74" borderId="0" applyNumberFormat="0" applyBorder="0" applyAlignment="0" applyProtection="0">
      <alignment vertical="center"/>
    </xf>
    <xf numFmtId="0" fontId="61" fillId="7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7" borderId="0" applyNumberFormat="0" applyBorder="0" applyAlignment="0" applyProtection="0">
      <alignment vertical="center"/>
    </xf>
    <xf numFmtId="0" fontId="63" fillId="77" borderId="0" applyNumberFormat="0" applyBorder="0" applyAlignment="0" applyProtection="0">
      <alignment vertical="center"/>
    </xf>
    <xf numFmtId="0" fontId="63" fillId="77" borderId="0" applyNumberFormat="0" applyBorder="0" applyAlignment="0" applyProtection="0">
      <alignment vertical="center"/>
    </xf>
    <xf numFmtId="0" fontId="63" fillId="77" borderId="0" applyNumberFormat="0" applyBorder="0" applyAlignment="0" applyProtection="0">
      <alignment vertical="center"/>
    </xf>
    <xf numFmtId="0" fontId="63" fillId="77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80" borderId="0" applyNumberFormat="0" applyBorder="0" applyAlignment="0" applyProtection="0">
      <alignment vertical="center"/>
    </xf>
    <xf numFmtId="0" fontId="63" fillId="80" borderId="0" applyNumberFormat="0" applyBorder="0" applyAlignment="0" applyProtection="0">
      <alignment vertical="center"/>
    </xf>
    <xf numFmtId="0" fontId="63" fillId="80" borderId="0" applyNumberFormat="0" applyBorder="0" applyAlignment="0" applyProtection="0">
      <alignment vertical="center"/>
    </xf>
    <xf numFmtId="0" fontId="63" fillId="80" borderId="0" applyNumberFormat="0" applyBorder="0" applyAlignment="0" applyProtection="0">
      <alignment vertical="center"/>
    </xf>
    <xf numFmtId="0" fontId="63" fillId="80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/>
    <xf numFmtId="0" fontId="31" fillId="0" borderId="52" applyNumberFormat="0" applyAlignment="0" applyProtection="0">
      <alignment horizontal="left" vertical="center"/>
    </xf>
    <xf numFmtId="0" fontId="31" fillId="0" borderId="3">
      <alignment horizontal="left"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8" fillId="83" borderId="1" applyNumberFormat="0" applyBorder="0" applyAlignment="0" applyProtection="0"/>
    <xf numFmtId="176" fontId="66" fillId="0" borderId="0"/>
    <xf numFmtId="0" fontId="0" fillId="0" borderId="0"/>
    <xf numFmtId="0" fontId="7" fillId="0" borderId="0"/>
    <xf numFmtId="0" fontId="0" fillId="0" borderId="0"/>
    <xf numFmtId="177" fontId="67" fillId="0" borderId="0"/>
    <xf numFmtId="0" fontId="0" fillId="0" borderId="0"/>
    <xf numFmtId="0" fontId="7" fillId="0" borderId="0"/>
    <xf numFmtId="0" fontId="0" fillId="0" borderId="0"/>
    <xf numFmtId="0" fontId="7" fillId="0" borderId="0"/>
    <xf numFmtId="0" fontId="29" fillId="0" borderId="0"/>
    <xf numFmtId="10" fontId="0" fillId="0" borderId="0" applyFont="0" applyFill="0" applyBorder="0" applyAlignment="0" applyProtection="0"/>
    <xf numFmtId="10" fontId="0" fillId="0" borderId="0" applyFont="0" applyFill="0" applyBorder="0" applyAlignment="0" applyProtection="0"/>
    <xf numFmtId="0" fontId="7" fillId="0" borderId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83" borderId="53" applyNumberFormat="0" applyFont="0" applyAlignment="0" applyProtection="0">
      <alignment vertical="center"/>
    </xf>
    <xf numFmtId="0" fontId="0" fillId="83" borderId="53" applyNumberFormat="0" applyFont="0" applyAlignment="0" applyProtection="0">
      <alignment vertical="center"/>
    </xf>
    <xf numFmtId="0" fontId="0" fillId="83" borderId="53" applyNumberFormat="0" applyFont="0" applyAlignment="0" applyProtection="0">
      <alignment vertical="center"/>
    </xf>
    <xf numFmtId="0" fontId="0" fillId="83" borderId="53" applyNumberFormat="0" applyFont="0" applyAlignment="0" applyProtection="0">
      <alignment vertical="center"/>
    </xf>
    <xf numFmtId="0" fontId="69" fillId="0" borderId="54" applyProtection="0"/>
    <xf numFmtId="0" fontId="70" fillId="0" borderId="55" applyProtection="0"/>
    <xf numFmtId="0" fontId="71" fillId="0" borderId="56" applyProtection="0"/>
    <xf numFmtId="0" fontId="71" fillId="0" borderId="0" applyProtection="0"/>
    <xf numFmtId="0" fontId="72" fillId="0" borderId="0" applyProtection="0"/>
    <xf numFmtId="0" fontId="72" fillId="0" borderId="0" applyNumberFormat="0" applyFill="0" applyBorder="0" applyAlignment="0" applyProtection="0">
      <alignment vertical="center"/>
    </xf>
    <xf numFmtId="0" fontId="69" fillId="0" borderId="54" applyNumberFormat="0" applyFill="0" applyAlignment="0" applyProtection="0">
      <alignment vertical="center"/>
    </xf>
    <xf numFmtId="0" fontId="69" fillId="0" borderId="54" applyNumberFormat="0" applyFill="0" applyAlignment="0" applyProtection="0">
      <alignment vertical="center"/>
    </xf>
    <xf numFmtId="0" fontId="70" fillId="0" borderId="55" applyNumberFormat="0" applyFill="0" applyAlignment="0" applyProtection="0">
      <alignment vertical="center"/>
    </xf>
    <xf numFmtId="0" fontId="70" fillId="0" borderId="55" applyNumberFormat="0" applyFill="0" applyAlignment="0" applyProtection="0">
      <alignment vertical="center"/>
    </xf>
    <xf numFmtId="0" fontId="71" fillId="0" borderId="56" applyNumberFormat="0" applyFill="0" applyAlignment="0" applyProtection="0">
      <alignment vertical="center"/>
    </xf>
    <xf numFmtId="0" fontId="71" fillId="0" borderId="56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73" fillId="0" borderId="0"/>
    <xf numFmtId="0" fontId="68" fillId="0" borderId="0">
      <alignment vertical="center"/>
    </xf>
    <xf numFmtId="0" fontId="74" fillId="77" borderId="0" applyProtection="0"/>
    <xf numFmtId="0" fontId="75" fillId="84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6" fillId="0" borderId="0"/>
    <xf numFmtId="0" fontId="24" fillId="0" borderId="0">
      <alignment vertical="center"/>
    </xf>
    <xf numFmtId="0" fontId="24" fillId="0" borderId="0">
      <alignment vertical="center"/>
    </xf>
    <xf numFmtId="0" fontId="76" fillId="0" borderId="0"/>
    <xf numFmtId="0" fontId="24" fillId="0" borderId="0">
      <alignment vertical="center"/>
    </xf>
    <xf numFmtId="0" fontId="0" fillId="0" borderId="0"/>
    <xf numFmtId="0" fontId="63" fillId="0" borderId="0">
      <alignment vertical="center"/>
    </xf>
    <xf numFmtId="0" fontId="63" fillId="0" borderId="0">
      <alignment vertical="center"/>
    </xf>
    <xf numFmtId="0" fontId="0" fillId="0" borderId="0"/>
    <xf numFmtId="0" fontId="63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7" fillId="0" borderId="0"/>
    <xf numFmtId="0" fontId="78" fillId="0" borderId="0" applyProtection="0"/>
    <xf numFmtId="0" fontId="6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9" fillId="0" borderId="0"/>
    <xf numFmtId="0" fontId="0" fillId="0" borderId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64" fillId="85" borderId="0" applyNumberFormat="0" applyBorder="0" applyAlignment="0" applyProtection="0">
      <alignment vertical="center"/>
    </xf>
    <xf numFmtId="0" fontId="64" fillId="85" borderId="0" applyNumberFormat="0" applyBorder="0" applyAlignment="0" applyProtection="0">
      <alignment vertical="center"/>
    </xf>
    <xf numFmtId="0" fontId="64" fillId="85" borderId="0" applyNumberFormat="0" applyBorder="0" applyAlignment="0" applyProtection="0">
      <alignment vertical="center"/>
    </xf>
    <xf numFmtId="0" fontId="64" fillId="85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82" fillId="30" borderId="0" applyProtection="0"/>
    <xf numFmtId="0" fontId="82" fillId="78" borderId="0" applyNumberFormat="0" applyBorder="0" applyAlignment="0" applyProtection="0">
      <alignment vertical="center"/>
    </xf>
    <xf numFmtId="0" fontId="82" fillId="78" borderId="0" applyNumberFormat="0" applyBorder="0" applyAlignment="0" applyProtection="0">
      <alignment vertical="center"/>
    </xf>
    <xf numFmtId="0" fontId="83" fillId="0" borderId="57" applyNumberFormat="0" applyFill="0" applyAlignment="0" applyProtection="0">
      <alignment vertical="center"/>
    </xf>
    <xf numFmtId="0" fontId="83" fillId="0" borderId="57" applyNumberFormat="0" applyFill="0" applyAlignment="0" applyProtection="0">
      <alignment vertical="center"/>
    </xf>
    <xf numFmtId="178" fontId="79" fillId="0" borderId="0" applyFill="0" applyBorder="0" applyAlignment="0" applyProtection="0"/>
    <xf numFmtId="0" fontId="74" fillId="77" borderId="0" applyNumberFormat="0" applyBorder="0" applyAlignment="0" applyProtection="0">
      <alignment vertical="center"/>
    </xf>
    <xf numFmtId="0" fontId="74" fillId="77" borderId="0" applyNumberFormat="0" applyBorder="0" applyAlignment="0" applyProtection="0">
      <alignment vertical="center"/>
    </xf>
    <xf numFmtId="0" fontId="74" fillId="77" borderId="0" applyNumberFormat="0" applyBorder="0" applyAlignment="0" applyProtection="0">
      <alignment vertical="center"/>
    </xf>
    <xf numFmtId="0" fontId="74" fillId="77" borderId="0" applyNumberFormat="0" applyBorder="0" applyAlignment="0" applyProtection="0">
      <alignment vertical="center"/>
    </xf>
    <xf numFmtId="0" fontId="83" fillId="0" borderId="57" applyProtection="0"/>
    <xf numFmtId="179" fontId="0" fillId="0" borderId="0" applyFont="0" applyFill="0" applyBorder="0" applyAlignment="0" applyProtection="0">
      <alignment vertical="center"/>
    </xf>
    <xf numFmtId="0" fontId="84" fillId="27" borderId="58" applyProtection="0"/>
    <xf numFmtId="0" fontId="84" fillId="27" borderId="58" applyNumberFormat="0" applyAlignment="0" applyProtection="0">
      <alignment vertical="center"/>
    </xf>
    <xf numFmtId="0" fontId="84" fillId="27" borderId="58" applyNumberFormat="0" applyAlignment="0" applyProtection="0">
      <alignment vertical="center"/>
    </xf>
    <xf numFmtId="0" fontId="84" fillId="27" borderId="58" applyNumberFormat="0" applyAlignment="0" applyProtection="0">
      <alignment vertical="center"/>
    </xf>
    <xf numFmtId="0" fontId="84" fillId="27" borderId="58" applyNumberFormat="0" applyAlignment="0" applyProtection="0">
      <alignment vertical="center"/>
    </xf>
    <xf numFmtId="0" fontId="85" fillId="86" borderId="59" applyProtection="0"/>
    <xf numFmtId="0" fontId="85" fillId="86" borderId="59" applyNumberFormat="0" applyAlignment="0" applyProtection="0">
      <alignment vertical="center"/>
    </xf>
    <xf numFmtId="0" fontId="85" fillId="86" borderId="59" applyNumberFormat="0" applyAlignment="0" applyProtection="0">
      <alignment vertical="center"/>
    </xf>
    <xf numFmtId="0" fontId="85" fillId="86" borderId="59" applyNumberFormat="0" applyAlignment="0" applyProtection="0">
      <alignment vertical="center"/>
    </xf>
    <xf numFmtId="0" fontId="85" fillId="86" borderId="59" applyNumberFormat="0" applyAlignment="0" applyProtection="0">
      <alignment vertical="center"/>
    </xf>
    <xf numFmtId="0" fontId="86" fillId="0" borderId="0" applyProtection="0"/>
    <xf numFmtId="0" fontId="87" fillId="0" borderId="0" applyProtection="0"/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60" applyNumberFormat="0" applyFill="0" applyAlignment="0" applyProtection="0">
      <alignment vertical="center"/>
    </xf>
    <xf numFmtId="0" fontId="88" fillId="0" borderId="60" applyNumberFormat="0" applyFill="0" applyAlignment="0" applyProtection="0">
      <alignment vertical="center"/>
    </xf>
    <xf numFmtId="0" fontId="88" fillId="0" borderId="60" applyProtection="0"/>
    <xf numFmtId="0" fontId="89" fillId="0" borderId="0" applyProtection="0"/>
    <xf numFmtId="180" fontId="0" fillId="0" borderId="0" applyProtection="0"/>
    <xf numFmtId="181" fontId="0" fillId="0" borderId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2" fontId="76" fillId="0" borderId="0" applyFont="0" applyFill="0" applyBorder="0" applyAlignment="0" applyProtection="0"/>
    <xf numFmtId="182" fontId="76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90" fillId="87" borderId="0" applyNumberFormat="0" applyBorder="0" applyAlignment="0" applyProtection="0">
      <alignment vertical="center"/>
    </xf>
    <xf numFmtId="0" fontId="90" fillId="88" borderId="0" applyNumberFormat="0" applyBorder="0" applyAlignment="0" applyProtection="0">
      <alignment vertical="center"/>
    </xf>
    <xf numFmtId="0" fontId="91" fillId="89" borderId="0" applyProtection="0"/>
    <xf numFmtId="0" fontId="92" fillId="27" borderId="61" applyProtection="0"/>
    <xf numFmtId="0" fontId="93" fillId="40" borderId="58" applyProtection="0"/>
    <xf numFmtId="0" fontId="94" fillId="90" borderId="47" applyNumberFormat="0" applyAlignment="0" applyProtection="0">
      <alignment vertical="center"/>
    </xf>
    <xf numFmtId="0" fontId="92" fillId="27" borderId="61" applyNumberFormat="0" applyAlignment="0" applyProtection="0">
      <alignment vertical="center"/>
    </xf>
    <xf numFmtId="0" fontId="92" fillId="27" borderId="61" applyNumberFormat="0" applyAlignment="0" applyProtection="0">
      <alignment vertical="center"/>
    </xf>
    <xf numFmtId="0" fontId="92" fillId="27" borderId="61" applyNumberFormat="0" applyAlignment="0" applyProtection="0">
      <alignment vertical="center"/>
    </xf>
    <xf numFmtId="0" fontId="92" fillId="27" borderId="61" applyNumberFormat="0" applyAlignment="0" applyProtection="0">
      <alignment vertical="center"/>
    </xf>
    <xf numFmtId="0" fontId="93" fillId="40" borderId="58" applyNumberFormat="0" applyAlignment="0" applyProtection="0">
      <alignment vertical="center"/>
    </xf>
    <xf numFmtId="0" fontId="93" fillId="40" borderId="58" applyNumberFormat="0" applyAlignment="0" applyProtection="0">
      <alignment vertical="center"/>
    </xf>
    <xf numFmtId="0" fontId="93" fillId="40" borderId="58" applyNumberFormat="0" applyAlignment="0" applyProtection="0">
      <alignment vertical="center"/>
    </xf>
    <xf numFmtId="0" fontId="93" fillId="40" borderId="58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78" fillId="0" borderId="0"/>
    <xf numFmtId="0" fontId="76" fillId="0" borderId="0"/>
    <xf numFmtId="0" fontId="76" fillId="0" borderId="0"/>
    <xf numFmtId="0" fontId="76" fillId="0" borderId="0">
      <alignment vertical="center"/>
    </xf>
    <xf numFmtId="0" fontId="91" fillId="89" borderId="0" applyNumberFormat="0" applyBorder="0" applyAlignment="0" applyProtection="0">
      <alignment vertical="center"/>
    </xf>
    <xf numFmtId="0" fontId="91" fillId="89" borderId="0" applyNumberFormat="0" applyBorder="0" applyAlignment="0" applyProtection="0">
      <alignment vertical="center"/>
    </xf>
    <xf numFmtId="0" fontId="91" fillId="89" borderId="0" applyNumberFormat="0" applyBorder="0" applyAlignment="0" applyProtection="0">
      <alignment vertical="center"/>
    </xf>
    <xf numFmtId="0" fontId="91" fillId="89" borderId="0" applyNumberFormat="0" applyBorder="0" applyAlignment="0" applyProtection="0">
      <alignment vertical="center"/>
    </xf>
    <xf numFmtId="0" fontId="0" fillId="83" borderId="53" applyProtection="0"/>
  </cellStyleXfs>
  <cellXfs count="488">
    <xf numFmtId="0" fontId="0" fillId="0" borderId="0" xfId="0"/>
    <xf numFmtId="0" fontId="0" fillId="0" borderId="0" xfId="0" applyFill="1" applyProtection="1">
      <protection locked="0"/>
    </xf>
    <xf numFmtId="0" fontId="1" fillId="0" borderId="0" xfId="226" applyNumberFormat="1" applyFont="1" applyFill="1" applyBorder="1" applyAlignment="1" applyProtection="1">
      <alignment horizontal="center" vertical="center" wrapText="1"/>
      <protection locked="0"/>
    </xf>
    <xf numFmtId="178" fontId="0" fillId="0" borderId="0" xfId="0" applyNumberFormat="1"/>
    <xf numFmtId="0" fontId="1" fillId="2" borderId="0" xfId="226" applyNumberFormat="1" applyFont="1" applyFill="1" applyBorder="1" applyAlignment="1" applyProtection="1">
      <protection locked="0"/>
    </xf>
    <xf numFmtId="0" fontId="2" fillId="3" borderId="0" xfId="226" applyNumberFormat="1" applyFont="1" applyFill="1" applyBorder="1" applyAlignment="1" applyProtection="1">
      <protection locked="0"/>
    </xf>
    <xf numFmtId="0" fontId="1" fillId="0" borderId="0" xfId="226" applyNumberFormat="1" applyFont="1" applyFill="1" applyBorder="1" applyAlignment="1" applyProtection="1">
      <alignment vertical="center"/>
      <protection locked="0"/>
    </xf>
    <xf numFmtId="0" fontId="1" fillId="0" borderId="0" xfId="226" applyNumberFormat="1" applyFont="1" applyFill="1" applyBorder="1" applyAlignment="1" applyProtection="1">
      <alignment horizontal="center" vertical="center"/>
      <protection locked="0"/>
    </xf>
    <xf numFmtId="0" fontId="1" fillId="0" borderId="0" xfId="226" applyNumberFormat="1" applyFont="1" applyFill="1" applyBorder="1" applyAlignment="1" applyProtection="1">
      <alignment vertical="center" wrapText="1"/>
      <protection locked="0"/>
    </xf>
    <xf numFmtId="0" fontId="1" fillId="0" borderId="0" xfId="226" applyNumberFormat="1" applyFont="1" applyFill="1" applyBorder="1" applyAlignment="1" applyProtection="1">
      <alignment wrapText="1"/>
      <protection locked="0"/>
    </xf>
    <xf numFmtId="0" fontId="2" fillId="4" borderId="0" xfId="226" applyFont="1" applyFill="1" applyProtection="1">
      <protection locked="0"/>
    </xf>
    <xf numFmtId="0" fontId="1" fillId="0" borderId="0" xfId="226" applyNumberFormat="1" applyFont="1" applyFill="1" applyBorder="1" applyAlignment="1" applyProtection="1">
      <protection locked="0"/>
    </xf>
    <xf numFmtId="0" fontId="1" fillId="0" borderId="0" xfId="226" applyFont="1" applyFill="1" applyProtection="1">
      <protection locked="0"/>
    </xf>
    <xf numFmtId="0" fontId="1" fillId="5" borderId="0" xfId="226" applyFont="1" applyFill="1" applyProtection="1">
      <protection locked="0"/>
    </xf>
    <xf numFmtId="0" fontId="1" fillId="3" borderId="0" xfId="226" applyFont="1" applyFill="1" applyProtection="1">
      <protection locked="0"/>
    </xf>
    <xf numFmtId="0" fontId="1" fillId="6" borderId="0" xfId="226" applyNumberFormat="1" applyFont="1" applyFill="1" applyBorder="1" applyAlignment="1" applyProtection="1">
      <protection locked="0"/>
    </xf>
    <xf numFmtId="0" fontId="3" fillId="6" borderId="0" xfId="226" applyNumberFormat="1" applyFont="1" applyFill="1" applyBorder="1" applyAlignment="1" applyProtection="1">
      <protection locked="0"/>
    </xf>
    <xf numFmtId="0" fontId="1" fillId="0" borderId="0" xfId="226" applyNumberFormat="1" applyFont="1" applyFill="1" applyBorder="1" applyAlignment="1" applyProtection="1">
      <alignment horizontal="left"/>
      <protection locked="0"/>
    </xf>
    <xf numFmtId="0" fontId="1" fillId="0" borderId="0" xfId="226" applyNumberFormat="1" applyFont="1" applyFill="1" applyAlignment="1" applyProtection="1">
      <protection locked="0"/>
    </xf>
    <xf numFmtId="0" fontId="0" fillId="0" borderId="0" xfId="0" applyProtection="1">
      <protection locked="0"/>
    </xf>
    <xf numFmtId="0" fontId="4" fillId="0" borderId="0" xfId="226" applyNumberFormat="1" applyFont="1" applyFill="1" applyBorder="1" applyAlignment="1" applyProtection="1">
      <protection locked="0"/>
    </xf>
    <xf numFmtId="183" fontId="1" fillId="0" borderId="0" xfId="226" applyNumberFormat="1" applyFont="1" applyFill="1" applyBorder="1" applyAlignment="1" applyProtection="1">
      <protection locked="0"/>
    </xf>
    <xf numFmtId="0" fontId="5" fillId="7" borderId="1" xfId="6" applyNumberFormat="1" applyFont="1" applyFill="1" applyBorder="1" applyAlignment="1" applyProtection="1">
      <alignment horizontal="center"/>
      <protection locked="0"/>
    </xf>
    <xf numFmtId="0" fontId="6" fillId="2" borderId="1" xfId="226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226" applyNumberFormat="1" applyFont="1" applyFill="1" applyBorder="1" applyAlignment="1" applyProtection="1">
      <alignment horizontal="center"/>
      <protection locked="0"/>
    </xf>
    <xf numFmtId="0" fontId="7" fillId="8" borderId="1" xfId="226" applyNumberFormat="1" applyFont="1" applyFill="1" applyBorder="1" applyAlignment="1" applyProtection="1">
      <alignment horizontal="center"/>
      <protection hidden="1"/>
    </xf>
    <xf numFmtId="0" fontId="7" fillId="8" borderId="1" xfId="226" applyNumberFormat="1" applyFont="1" applyFill="1" applyBorder="1" applyAlignment="1" applyProtection="1">
      <alignment horizontal="center"/>
      <protection locked="0"/>
    </xf>
    <xf numFmtId="183" fontId="6" fillId="0" borderId="1" xfId="226" applyNumberFormat="1" applyFont="1" applyFill="1" applyBorder="1" applyAlignment="1" applyProtection="1">
      <alignment horizontal="center"/>
      <protection locked="0"/>
    </xf>
    <xf numFmtId="183" fontId="6" fillId="9" borderId="1" xfId="226" applyNumberFormat="1" applyFont="1" applyFill="1" applyBorder="1" applyAlignment="1" applyProtection="1">
      <alignment horizontal="center"/>
      <protection locked="0"/>
    </xf>
    <xf numFmtId="0" fontId="8" fillId="0" borderId="2" xfId="226" applyNumberFormat="1" applyFont="1" applyFill="1" applyBorder="1" applyAlignment="1" applyProtection="1">
      <alignment horizontal="center"/>
      <protection locked="0"/>
    </xf>
    <xf numFmtId="0" fontId="7" fillId="0" borderId="1" xfId="226" applyNumberFormat="1" applyFont="1" applyFill="1" applyBorder="1" applyAlignment="1" applyProtection="1">
      <alignment horizontal="center" vertical="center"/>
      <protection locked="0"/>
    </xf>
    <xf numFmtId="0" fontId="7" fillId="2" borderId="1" xfId="226" applyNumberFormat="1" applyFont="1" applyFill="1" applyBorder="1" applyAlignment="1" applyProtection="1">
      <alignment horizontal="center" vertical="center" wrapText="1"/>
      <protection locked="0"/>
    </xf>
    <xf numFmtId="183" fontId="7" fillId="10" borderId="1" xfId="226" applyNumberFormat="1" applyFont="1" applyFill="1" applyBorder="1" applyAlignment="1" applyProtection="1">
      <alignment horizontal="center" vertical="center" wrapText="1"/>
      <protection locked="0"/>
    </xf>
    <xf numFmtId="183" fontId="7" fillId="9" borderId="1" xfId="226" applyNumberFormat="1" applyFont="1" applyFill="1" applyBorder="1" applyAlignment="1" applyProtection="1">
      <alignment horizontal="center" vertical="center" wrapText="1"/>
      <protection locked="0"/>
    </xf>
    <xf numFmtId="0" fontId="9" fillId="2" borderId="2" xfId="226" applyNumberFormat="1" applyFont="1" applyFill="1" applyBorder="1" applyAlignment="1" applyProtection="1">
      <alignment horizontal="center" vertical="center"/>
      <protection locked="0"/>
    </xf>
    <xf numFmtId="0" fontId="7" fillId="0" borderId="1" xfId="226" applyNumberFormat="1" applyFont="1" applyFill="1" applyBorder="1" applyAlignment="1" applyProtection="1">
      <alignment horizontal="left"/>
      <protection locked="0"/>
    </xf>
    <xf numFmtId="183" fontId="7" fillId="8" borderId="1" xfId="226" applyNumberFormat="1" applyFont="1" applyFill="1" applyBorder="1" applyAlignment="1" applyProtection="1">
      <alignment horizontal="center"/>
      <protection locked="0"/>
    </xf>
    <xf numFmtId="183" fontId="7" fillId="9" borderId="1" xfId="226" applyNumberFormat="1" applyFont="1" applyFill="1" applyBorder="1" applyAlignment="1" applyProtection="1">
      <alignment horizontal="center"/>
      <protection locked="0"/>
    </xf>
    <xf numFmtId="0" fontId="8" fillId="0" borderId="1" xfId="226" applyNumberFormat="1" applyFont="1" applyFill="1" applyBorder="1" applyAlignment="1" applyProtection="1">
      <protection locked="0"/>
    </xf>
    <xf numFmtId="0" fontId="7" fillId="8" borderId="1" xfId="226" applyNumberFormat="1" applyFont="1" applyFill="1" applyBorder="1" applyAlignment="1" applyProtection="1">
      <alignment horizontal="center"/>
    </xf>
    <xf numFmtId="184" fontId="7" fillId="8" borderId="1" xfId="226" applyNumberFormat="1" applyFont="1" applyFill="1" applyBorder="1" applyAlignment="1" applyProtection="1">
      <alignment horizontal="center"/>
      <protection locked="0"/>
    </xf>
    <xf numFmtId="184" fontId="7" fillId="9" borderId="1" xfId="226" applyNumberFormat="1" applyFont="1" applyFill="1" applyBorder="1" applyAlignment="1" applyProtection="1">
      <alignment horizontal="center"/>
      <protection locked="0"/>
    </xf>
    <xf numFmtId="185" fontId="7" fillId="8" borderId="1" xfId="226" applyNumberFormat="1" applyFont="1" applyFill="1" applyBorder="1" applyAlignment="1" applyProtection="1">
      <alignment horizontal="center"/>
      <protection locked="0"/>
    </xf>
    <xf numFmtId="0" fontId="8" fillId="0" borderId="2" xfId="226" applyNumberFormat="1" applyFont="1" applyFill="1" applyBorder="1" applyAlignment="1" applyProtection="1">
      <alignment horizontal="left"/>
      <protection locked="0"/>
    </xf>
    <xf numFmtId="178" fontId="7" fillId="0" borderId="1" xfId="226" applyNumberFormat="1" applyFont="1" applyFill="1" applyBorder="1" applyAlignment="1" applyProtection="1">
      <alignment horizontal="center" vertical="center"/>
      <protection locked="0"/>
    </xf>
    <xf numFmtId="178" fontId="7" fillId="0" borderId="1" xfId="226" applyNumberFormat="1" applyFont="1" applyFill="1" applyBorder="1" applyAlignment="1" applyProtection="1">
      <alignment horizontal="left"/>
      <protection locked="0"/>
    </xf>
    <xf numFmtId="178" fontId="7" fillId="0" borderId="1" xfId="226" applyNumberFormat="1" applyFont="1" applyFill="1" applyBorder="1" applyAlignment="1" applyProtection="1">
      <alignment horizontal="center"/>
      <protection locked="0"/>
    </xf>
    <xf numFmtId="178" fontId="7" fillId="8" borderId="1" xfId="226" applyNumberFormat="1" applyFont="1" applyFill="1" applyBorder="1" applyAlignment="1" applyProtection="1">
      <alignment horizontal="center"/>
      <protection hidden="1"/>
    </xf>
    <xf numFmtId="178" fontId="7" fillId="8" borderId="1" xfId="226" applyNumberFormat="1" applyFont="1" applyFill="1" applyBorder="1" applyAlignment="1" applyProtection="1">
      <alignment horizontal="center"/>
      <protection locked="0"/>
    </xf>
    <xf numFmtId="178" fontId="7" fillId="9" borderId="1" xfId="226" applyNumberFormat="1" applyFont="1" applyFill="1" applyBorder="1" applyAlignment="1" applyProtection="1">
      <alignment horizontal="center"/>
      <protection locked="0"/>
    </xf>
    <xf numFmtId="178" fontId="8" fillId="0" borderId="2" xfId="226" applyNumberFormat="1" applyFont="1" applyFill="1" applyBorder="1" applyAlignment="1" applyProtection="1">
      <alignment horizontal="center"/>
      <protection locked="0"/>
    </xf>
    <xf numFmtId="178" fontId="0" fillId="0" borderId="0" xfId="0" applyNumberFormat="1" applyProtection="1">
      <protection locked="0"/>
    </xf>
    <xf numFmtId="178" fontId="1" fillId="0" borderId="0" xfId="226" applyNumberFormat="1" applyFont="1" applyFill="1" applyBorder="1" applyAlignment="1" applyProtection="1">
      <protection locked="0"/>
    </xf>
    <xf numFmtId="1" fontId="7" fillId="11" borderId="1" xfId="226" applyNumberFormat="1" applyFont="1" applyFill="1" applyBorder="1" applyAlignment="1" applyProtection="1">
      <alignment horizontal="center"/>
      <protection locked="0"/>
    </xf>
    <xf numFmtId="0" fontId="9" fillId="0" borderId="2" xfId="226" applyNumberFormat="1" applyFont="1" applyFill="1" applyBorder="1" applyAlignment="1" applyProtection="1">
      <alignment horizontal="center"/>
      <protection locked="0"/>
    </xf>
    <xf numFmtId="178" fontId="7" fillId="11" borderId="1" xfId="226" applyNumberFormat="1" applyFont="1" applyFill="1" applyBorder="1" applyAlignment="1" applyProtection="1">
      <alignment horizontal="center"/>
      <protection locked="0"/>
    </xf>
    <xf numFmtId="1" fontId="7" fillId="2" borderId="1" xfId="226" applyNumberFormat="1" applyFont="1" applyFill="1" applyBorder="1" applyAlignment="1" applyProtection="1">
      <alignment horizontal="center"/>
      <protection hidden="1"/>
    </xf>
    <xf numFmtId="186" fontId="7" fillId="2" borderId="1" xfId="226" applyNumberFormat="1" applyFont="1" applyFill="1" applyBorder="1" applyAlignment="1" applyProtection="1">
      <alignment horizontal="center"/>
      <protection hidden="1"/>
    </xf>
    <xf numFmtId="0" fontId="7" fillId="11" borderId="1" xfId="226" applyNumberFormat="1" applyFont="1" applyFill="1" applyBorder="1" applyAlignment="1" applyProtection="1">
      <alignment horizontal="center"/>
      <protection locked="0"/>
    </xf>
    <xf numFmtId="1" fontId="7" fillId="9" borderId="1" xfId="226" applyNumberFormat="1" applyFont="1" applyFill="1" applyBorder="1" applyAlignment="1" applyProtection="1">
      <alignment horizontal="center"/>
      <protection locked="0"/>
    </xf>
    <xf numFmtId="0" fontId="6" fillId="0" borderId="1" xfId="226" applyNumberFormat="1" applyFont="1" applyFill="1" applyBorder="1" applyAlignment="1" applyProtection="1">
      <alignment horizontal="left"/>
      <protection locked="0"/>
    </xf>
    <xf numFmtId="0" fontId="7" fillId="11" borderId="1" xfId="273" applyNumberFormat="1" applyFont="1" applyFill="1" applyBorder="1" applyAlignment="1" applyProtection="1">
      <alignment horizontal="center" vertical="center"/>
      <protection locked="0"/>
    </xf>
    <xf numFmtId="185" fontId="7" fillId="11" borderId="1" xfId="226" applyNumberFormat="1" applyFont="1" applyFill="1" applyBorder="1" applyAlignment="1" applyProtection="1">
      <alignment horizontal="center"/>
      <protection locked="0"/>
    </xf>
    <xf numFmtId="0" fontId="7" fillId="2" borderId="1" xfId="226" applyNumberFormat="1" applyFont="1" applyFill="1" applyBorder="1" applyAlignment="1" applyProtection="1">
      <alignment horizontal="center"/>
      <protection hidden="1"/>
    </xf>
    <xf numFmtId="0" fontId="10" fillId="3" borderId="1" xfId="226" applyNumberFormat="1" applyFont="1" applyFill="1" applyBorder="1" applyAlignment="1" applyProtection="1">
      <alignment horizontal="center"/>
      <protection locked="0"/>
    </xf>
    <xf numFmtId="0" fontId="11" fillId="3" borderId="1" xfId="226" applyNumberFormat="1" applyFont="1" applyFill="1" applyBorder="1" applyAlignment="1" applyProtection="1">
      <alignment horizontal="left"/>
      <protection locked="0"/>
    </xf>
    <xf numFmtId="183" fontId="10" fillId="3" borderId="1" xfId="226" applyNumberFormat="1" applyFont="1" applyFill="1" applyBorder="1" applyAlignment="1" applyProtection="1">
      <alignment horizontal="center"/>
      <protection locked="0"/>
    </xf>
    <xf numFmtId="0" fontId="12" fillId="3" borderId="2" xfId="226" applyNumberFormat="1" applyFont="1" applyFill="1" applyBorder="1" applyAlignment="1" applyProtection="1">
      <alignment horizontal="center"/>
      <protection locked="0"/>
    </xf>
    <xf numFmtId="183" fontId="7" fillId="0" borderId="1" xfId="226" applyNumberFormat="1" applyFont="1" applyFill="1" applyBorder="1" applyAlignment="1" applyProtection="1">
      <alignment horizontal="center"/>
      <protection locked="0"/>
    </xf>
    <xf numFmtId="0" fontId="8" fillId="0" borderId="3" xfId="226" applyNumberFormat="1" applyFont="1" applyFill="1" applyBorder="1" applyAlignment="1" applyProtection="1">
      <alignment horizontal="center"/>
      <protection locked="0"/>
    </xf>
    <xf numFmtId="187" fontId="7" fillId="11" borderId="1" xfId="226" applyNumberFormat="1" applyFont="1" applyFill="1" applyBorder="1" applyAlignment="1" applyProtection="1">
      <alignment horizontal="center"/>
      <protection locked="0"/>
    </xf>
    <xf numFmtId="0" fontId="6" fillId="0" borderId="1" xfId="226" applyNumberFormat="1" applyFont="1" applyFill="1" applyBorder="1" applyAlignment="1" applyProtection="1">
      <alignment horizontal="left" wrapText="1"/>
      <protection locked="0"/>
    </xf>
    <xf numFmtId="0" fontId="7" fillId="0" borderId="1" xfId="226" applyNumberFormat="1" applyFont="1" applyFill="1" applyBorder="1" applyAlignment="1" applyProtection="1">
      <alignment horizontal="center" wrapText="1"/>
      <protection locked="0"/>
    </xf>
    <xf numFmtId="178" fontId="7" fillId="2" borderId="1" xfId="226" applyNumberFormat="1" applyFont="1" applyFill="1" applyBorder="1" applyAlignment="1" applyProtection="1">
      <alignment horizontal="center"/>
      <protection hidden="1"/>
    </xf>
    <xf numFmtId="0" fontId="6" fillId="0" borderId="1" xfId="226" applyNumberFormat="1" applyFont="1" applyFill="1" applyBorder="1" applyAlignment="1" applyProtection="1">
      <alignment horizontal="left" vertical="center" wrapText="1"/>
      <protection locked="0"/>
    </xf>
    <xf numFmtId="2" fontId="13" fillId="11" borderId="1" xfId="226" applyNumberFormat="1" applyFont="1" applyFill="1" applyBorder="1" applyAlignment="1" applyProtection="1">
      <alignment horizontal="center" vertical="center" wrapText="1"/>
      <protection locked="0"/>
    </xf>
    <xf numFmtId="0" fontId="8" fillId="0" borderId="2" xfId="226" applyNumberFormat="1" applyFont="1" applyFill="1" applyBorder="1" applyAlignment="1" applyProtection="1">
      <alignment horizontal="center" vertical="center"/>
      <protection locked="0"/>
    </xf>
    <xf numFmtId="0" fontId="7" fillId="0" borderId="1" xfId="226" applyNumberFormat="1" applyFont="1" applyFill="1" applyBorder="1" applyAlignment="1" applyProtection="1">
      <alignment horizontal="left" vertical="center" wrapText="1"/>
      <protection locked="0"/>
    </xf>
    <xf numFmtId="0" fontId="7" fillId="0" borderId="1" xfId="226" applyNumberFormat="1" applyFont="1" applyFill="1" applyBorder="1" applyAlignment="1" applyProtection="1">
      <alignment horizontal="center" vertical="center" wrapText="1"/>
      <protection locked="0"/>
    </xf>
    <xf numFmtId="2" fontId="7" fillId="2" borderId="1" xfId="226" applyNumberFormat="1" applyFont="1" applyFill="1" applyBorder="1" applyAlignment="1" applyProtection="1">
      <alignment horizontal="center" vertical="center" wrapText="1"/>
      <protection hidden="1"/>
    </xf>
    <xf numFmtId="183" fontId="7" fillId="8" borderId="1" xfId="226" applyNumberFormat="1" applyFont="1" applyFill="1" applyBorder="1" applyAlignment="1" applyProtection="1">
      <alignment horizontal="center" vertical="center"/>
      <protection locked="0"/>
    </xf>
    <xf numFmtId="183" fontId="7" fillId="9" borderId="1" xfId="226" applyNumberFormat="1" applyFont="1" applyFill="1" applyBorder="1" applyAlignment="1" applyProtection="1">
      <alignment horizontal="center" vertical="center"/>
      <protection locked="0"/>
    </xf>
    <xf numFmtId="0" fontId="6" fillId="0" borderId="1" xfId="226" applyNumberFormat="1" applyFont="1" applyFill="1" applyBorder="1" applyAlignment="1" applyProtection="1">
      <alignment horizontal="left" vertical="center"/>
      <protection locked="0"/>
    </xf>
    <xf numFmtId="0" fontId="7" fillId="11" borderId="4" xfId="273" applyNumberFormat="1" applyFont="1" applyFill="1" applyBorder="1" applyAlignment="1" applyProtection="1">
      <alignment horizontal="center" vertical="center"/>
      <protection locked="0"/>
    </xf>
    <xf numFmtId="0" fontId="7" fillId="11" borderId="5" xfId="273" applyNumberFormat="1" applyFont="1" applyFill="1" applyBorder="1" applyAlignment="1" applyProtection="1">
      <alignment horizontal="center" vertical="center"/>
      <protection locked="0"/>
    </xf>
    <xf numFmtId="0" fontId="9" fillId="0" borderId="2" xfId="226" applyNumberFormat="1" applyFont="1" applyFill="1" applyBorder="1" applyAlignment="1" applyProtection="1">
      <alignment horizontal="center" vertical="center"/>
      <protection locked="0"/>
    </xf>
    <xf numFmtId="0" fontId="7" fillId="0" borderId="1" xfId="226" applyNumberFormat="1" applyFont="1" applyFill="1" applyBorder="1" applyAlignment="1" applyProtection="1">
      <alignment horizontal="left" wrapText="1"/>
      <protection locked="0"/>
    </xf>
    <xf numFmtId="2" fontId="7" fillId="11" borderId="1" xfId="226" applyNumberFormat="1" applyFont="1" applyFill="1" applyBorder="1" applyAlignment="1" applyProtection="1">
      <alignment horizontal="center" wrapText="1"/>
      <protection locked="0"/>
    </xf>
    <xf numFmtId="188" fontId="7" fillId="8" borderId="1" xfId="226" applyNumberFormat="1" applyFont="1" applyFill="1" applyBorder="1" applyAlignment="1" applyProtection="1">
      <alignment horizontal="center"/>
      <protection locked="0"/>
    </xf>
    <xf numFmtId="0" fontId="9" fillId="0" borderId="2" xfId="226" applyNumberFormat="1" applyFont="1" applyFill="1" applyBorder="1" applyAlignment="1" applyProtection="1">
      <alignment horizontal="center" wrapText="1"/>
      <protection locked="0"/>
    </xf>
    <xf numFmtId="1" fontId="14" fillId="11" borderId="1" xfId="226" applyNumberFormat="1" applyFont="1" applyFill="1" applyBorder="1" applyAlignment="1" applyProtection="1">
      <alignment horizontal="center" vertical="center"/>
      <protection locked="0"/>
    </xf>
    <xf numFmtId="2" fontId="13" fillId="11" borderId="1" xfId="226" applyNumberFormat="1" applyFont="1" applyFill="1" applyBorder="1" applyAlignment="1" applyProtection="1">
      <alignment horizontal="center" wrapText="1"/>
      <protection locked="0"/>
    </xf>
    <xf numFmtId="2" fontId="7" fillId="2" borderId="1" xfId="226" applyNumberFormat="1" applyFont="1" applyFill="1" applyBorder="1" applyAlignment="1" applyProtection="1">
      <alignment horizontal="center" wrapText="1"/>
      <protection hidden="1"/>
    </xf>
    <xf numFmtId="0" fontId="7" fillId="12" borderId="1" xfId="226" applyNumberFormat="1" applyFont="1" applyFill="1" applyBorder="1" applyAlignment="1" applyProtection="1">
      <alignment horizontal="left" wrapText="1"/>
      <protection locked="0"/>
    </xf>
    <xf numFmtId="189" fontId="7" fillId="2" borderId="1" xfId="226" applyNumberFormat="1" applyFont="1" applyFill="1" applyBorder="1" applyAlignment="1" applyProtection="1">
      <alignment horizontal="center"/>
      <protection hidden="1"/>
    </xf>
    <xf numFmtId="190" fontId="7" fillId="2" borderId="1" xfId="226" applyNumberFormat="1" applyFont="1" applyFill="1" applyBorder="1" applyAlignment="1" applyProtection="1">
      <alignment horizontal="center"/>
      <protection hidden="1"/>
    </xf>
    <xf numFmtId="185" fontId="7" fillId="2" borderId="1" xfId="226" applyNumberFormat="1" applyFont="1" applyFill="1" applyBorder="1" applyAlignment="1" applyProtection="1">
      <alignment horizontal="center"/>
      <protection hidden="1"/>
    </xf>
    <xf numFmtId="2" fontId="13" fillId="8" borderId="1" xfId="226" applyNumberFormat="1" applyFont="1" applyFill="1" applyBorder="1" applyAlignment="1" applyProtection="1">
      <alignment horizontal="center"/>
      <protection hidden="1"/>
    </xf>
    <xf numFmtId="0" fontId="0" fillId="0" borderId="0" xfId="0" applyBorder="1" applyProtection="1">
      <protection locked="0"/>
    </xf>
    <xf numFmtId="0" fontId="6" fillId="13" borderId="0" xfId="220" applyFont="1" applyFill="1" applyBorder="1" applyAlignment="1" applyProtection="1">
      <alignment vertical="center"/>
      <protection locked="0"/>
    </xf>
    <xf numFmtId="178" fontId="6" fillId="13" borderId="0" xfId="0" applyNumberFormat="1" applyFont="1" applyFill="1" applyBorder="1" applyAlignment="1" applyProtection="1">
      <alignment horizontal="right" vertical="center"/>
      <protection locked="0"/>
    </xf>
    <xf numFmtId="0" fontId="6" fillId="13" borderId="0" xfId="0" applyFont="1" applyFill="1" applyBorder="1" applyAlignment="1" applyProtection="1">
      <alignment vertical="center"/>
      <protection locked="0"/>
    </xf>
    <xf numFmtId="0" fontId="15" fillId="13" borderId="0" xfId="0" applyFont="1" applyFill="1" applyBorder="1" applyAlignment="1" applyProtection="1">
      <alignment horizontal="right" vertical="center"/>
      <protection locked="0"/>
    </xf>
    <xf numFmtId="0" fontId="16" fillId="13" borderId="0" xfId="0" applyFont="1" applyFill="1" applyBorder="1" applyAlignment="1" applyProtection="1">
      <alignment horizontal="right" vertical="center"/>
      <protection locked="0"/>
    </xf>
    <xf numFmtId="0" fontId="17" fillId="13" borderId="0" xfId="0" applyFont="1" applyFill="1" applyBorder="1" applyAlignment="1" applyProtection="1">
      <alignment vertical="center"/>
      <protection locked="0"/>
    </xf>
    <xf numFmtId="0" fontId="13" fillId="13" borderId="0" xfId="0" applyFont="1" applyFill="1" applyBorder="1" applyAlignment="1" applyProtection="1">
      <alignment vertical="center"/>
      <protection locked="0"/>
    </xf>
    <xf numFmtId="0" fontId="18" fillId="13" borderId="0" xfId="0" applyFont="1" applyFill="1" applyBorder="1" applyAlignment="1" applyProtection="1">
      <alignment vertical="center"/>
      <protection locked="0"/>
    </xf>
    <xf numFmtId="1" fontId="7" fillId="8" borderId="1" xfId="0" applyNumberFormat="1" applyFont="1" applyFill="1" applyBorder="1" applyAlignment="1" applyProtection="1">
      <alignment horizontal="center"/>
      <protection hidden="1"/>
    </xf>
    <xf numFmtId="0" fontId="6" fillId="13" borderId="0" xfId="220" applyFont="1" applyFill="1" applyBorder="1" applyAlignment="1" applyProtection="1">
      <alignment horizontal="center" vertical="center"/>
      <protection locked="0"/>
    </xf>
    <xf numFmtId="0" fontId="7" fillId="13" borderId="0" xfId="0" applyFont="1" applyFill="1" applyBorder="1" applyAlignment="1" applyProtection="1">
      <alignment horizontal="center" vertical="center"/>
      <protection locked="0"/>
    </xf>
    <xf numFmtId="0" fontId="17" fillId="13" borderId="0" xfId="0" applyFont="1" applyFill="1" applyBorder="1" applyAlignment="1" applyProtection="1">
      <alignment horizontal="center" vertical="center" wrapText="1"/>
      <protection locked="0"/>
    </xf>
    <xf numFmtId="178" fontId="13" fillId="13" borderId="0" xfId="0" applyNumberFormat="1" applyFont="1" applyFill="1" applyBorder="1" applyAlignment="1" applyProtection="1">
      <alignment vertical="center"/>
      <protection locked="0"/>
    </xf>
    <xf numFmtId="1" fontId="13" fillId="11" borderId="1" xfId="226" applyNumberFormat="1" applyFont="1" applyFill="1" applyBorder="1" applyAlignment="1" applyProtection="1">
      <alignment horizontal="center"/>
      <protection locked="0"/>
    </xf>
    <xf numFmtId="0" fontId="13" fillId="13" borderId="0" xfId="0" applyFont="1" applyFill="1" applyBorder="1" applyAlignment="1" applyProtection="1">
      <alignment horizontal="center" vertical="center" wrapText="1"/>
      <protection locked="0"/>
    </xf>
    <xf numFmtId="183" fontId="7" fillId="2" borderId="1" xfId="226" applyNumberFormat="1" applyFont="1" applyFill="1" applyBorder="1" applyAlignment="1" applyProtection="1">
      <alignment horizontal="center"/>
      <protection hidden="1"/>
    </xf>
    <xf numFmtId="191" fontId="13" fillId="13" borderId="0" xfId="0" applyNumberFormat="1" applyFont="1" applyFill="1" applyBorder="1" applyAlignment="1" applyProtection="1">
      <alignment horizontal="right" vertical="center"/>
      <protection locked="0"/>
    </xf>
    <xf numFmtId="0" fontId="13" fillId="13" borderId="0" xfId="0" applyFont="1" applyFill="1" applyBorder="1" applyAlignment="1" applyProtection="1">
      <alignment horizontal="right" vertical="center"/>
      <protection locked="0"/>
    </xf>
    <xf numFmtId="0" fontId="16" fillId="13" borderId="0" xfId="0" applyFont="1" applyFill="1" applyBorder="1" applyAlignment="1" applyProtection="1">
      <alignment vertical="center"/>
      <protection locked="0"/>
    </xf>
    <xf numFmtId="191" fontId="16" fillId="13" borderId="0" xfId="0" applyNumberFormat="1" applyFont="1" applyFill="1" applyBorder="1" applyAlignment="1" applyProtection="1">
      <alignment horizontal="right" vertical="center"/>
      <protection locked="0"/>
    </xf>
    <xf numFmtId="0" fontId="7" fillId="12" borderId="1" xfId="226" applyNumberFormat="1" applyFont="1" applyFill="1" applyBorder="1" applyAlignment="1" applyProtection="1">
      <alignment horizontal="left"/>
      <protection locked="0"/>
    </xf>
    <xf numFmtId="0" fontId="6" fillId="12" borderId="1" xfId="226" applyNumberFormat="1" applyFont="1" applyFill="1" applyBorder="1" applyAlignment="1" applyProtection="1">
      <alignment horizontal="left"/>
      <protection locked="0"/>
    </xf>
    <xf numFmtId="185" fontId="7" fillId="14" borderId="1" xfId="226" applyNumberFormat="1" applyFont="1" applyFill="1" applyBorder="1" applyAlignment="1" applyProtection="1">
      <alignment horizontal="center"/>
      <protection locked="0"/>
    </xf>
    <xf numFmtId="10" fontId="7" fillId="2" borderId="1" xfId="226" applyNumberFormat="1" applyFont="1" applyFill="1" applyBorder="1" applyAlignment="1" applyProtection="1">
      <alignment horizontal="center"/>
      <protection hidden="1"/>
    </xf>
    <xf numFmtId="0" fontId="7" fillId="13" borderId="0" xfId="0" applyFont="1" applyFill="1" applyBorder="1" applyAlignment="1" applyProtection="1">
      <alignment vertical="center"/>
      <protection locked="0"/>
    </xf>
    <xf numFmtId="0" fontId="19" fillId="3" borderId="1" xfId="226" applyNumberFormat="1" applyFont="1" applyFill="1" applyBorder="1" applyAlignment="1" applyProtection="1">
      <alignment horizontal="center"/>
      <protection locked="0"/>
    </xf>
    <xf numFmtId="183" fontId="19" fillId="3" borderId="1" xfId="226" applyNumberFormat="1" applyFont="1" applyFill="1" applyBorder="1" applyAlignment="1" applyProtection="1">
      <alignment horizontal="center"/>
      <protection locked="0"/>
    </xf>
    <xf numFmtId="0" fontId="20" fillId="3" borderId="2" xfId="226" applyNumberFormat="1" applyFont="1" applyFill="1" applyBorder="1" applyAlignment="1" applyProtection="1">
      <alignment horizontal="center"/>
      <protection locked="0"/>
    </xf>
    <xf numFmtId="0" fontId="21" fillId="0" borderId="0" xfId="0" applyFont="1" applyBorder="1" applyAlignment="1" applyProtection="1">
      <alignment horizontal="center"/>
      <protection locked="0"/>
    </xf>
    <xf numFmtId="0" fontId="22" fillId="0" borderId="0" xfId="0" applyFont="1" applyBorder="1" applyAlignment="1" applyProtection="1">
      <alignment horizontal="center" wrapText="1"/>
      <protection locked="0"/>
    </xf>
    <xf numFmtId="0" fontId="23" fillId="0" borderId="0" xfId="0" applyFont="1" applyBorder="1" applyAlignment="1" applyProtection="1">
      <alignment horizontal="center" wrapText="1"/>
      <protection locked="0"/>
    </xf>
    <xf numFmtId="2" fontId="7" fillId="2" borderId="1" xfId="226" applyNumberFormat="1" applyFont="1" applyFill="1" applyBorder="1" applyAlignment="1" applyProtection="1">
      <alignment horizontal="center"/>
      <protection hidden="1"/>
    </xf>
    <xf numFmtId="9" fontId="7" fillId="9" borderId="1" xfId="226" applyNumberFormat="1" applyFont="1" applyFill="1" applyBorder="1" applyAlignment="1" applyProtection="1">
      <alignment horizontal="center"/>
      <protection locked="0"/>
    </xf>
    <xf numFmtId="0" fontId="9" fillId="15" borderId="2" xfId="226" applyNumberFormat="1" applyFont="1" applyFill="1" applyBorder="1" applyAlignment="1" applyProtection="1">
      <alignment horizontal="center"/>
      <protection locked="0"/>
    </xf>
    <xf numFmtId="0" fontId="8" fillId="15" borderId="2" xfId="226" applyNumberFormat="1" applyFont="1" applyFill="1" applyBorder="1" applyAlignment="1" applyProtection="1">
      <alignment horizontal="center"/>
      <protection locked="0"/>
    </xf>
    <xf numFmtId="0" fontId="24" fillId="0" borderId="0" xfId="234" applyProtection="1">
      <alignment vertical="center"/>
      <protection locked="0"/>
    </xf>
    <xf numFmtId="0" fontId="6" fillId="13" borderId="0" xfId="232" applyFont="1" applyFill="1" applyProtection="1">
      <alignment vertical="center"/>
      <protection locked="0"/>
    </xf>
    <xf numFmtId="0" fontId="6" fillId="13" borderId="0" xfId="232" applyFont="1" applyFill="1" applyAlignment="1" applyProtection="1">
      <alignment horizontal="left" vertical="center"/>
      <protection locked="0"/>
    </xf>
    <xf numFmtId="0" fontId="6" fillId="13" borderId="0" xfId="232" applyFont="1" applyFill="1" applyAlignment="1" applyProtection="1">
      <alignment horizontal="center" vertical="center"/>
      <protection locked="0"/>
    </xf>
    <xf numFmtId="186" fontId="7" fillId="2" borderId="1" xfId="226" applyNumberFormat="1" applyFont="1" applyFill="1" applyBorder="1" applyAlignment="1" applyProtection="1">
      <alignment horizontal="center"/>
      <protection locked="0"/>
    </xf>
    <xf numFmtId="183" fontId="7" fillId="15" borderId="1" xfId="226" applyNumberFormat="1" applyFont="1" applyFill="1" applyBorder="1" applyAlignment="1" applyProtection="1">
      <alignment horizontal="center"/>
      <protection locked="0"/>
    </xf>
    <xf numFmtId="2" fontId="7" fillId="11" borderId="1" xfId="226" applyNumberFormat="1" applyFont="1" applyFill="1" applyBorder="1" applyAlignment="1" applyProtection="1">
      <alignment horizontal="center"/>
      <protection locked="0"/>
    </xf>
    <xf numFmtId="0" fontId="19" fillId="3" borderId="1" xfId="226" applyNumberFormat="1" applyFont="1" applyFill="1" applyBorder="1" applyAlignment="1" applyProtection="1">
      <alignment horizontal="center" vertical="center"/>
      <protection locked="0"/>
    </xf>
    <xf numFmtId="0" fontId="25" fillId="3" borderId="1" xfId="226" applyNumberFormat="1" applyFont="1" applyFill="1" applyBorder="1" applyAlignment="1" applyProtection="1">
      <alignment horizontal="center" vertical="center"/>
      <protection locked="0"/>
    </xf>
    <xf numFmtId="0" fontId="25" fillId="3" borderId="1" xfId="226" applyNumberFormat="1" applyFont="1" applyFill="1" applyBorder="1" applyAlignment="1" applyProtection="1">
      <alignment horizontal="left"/>
      <protection locked="0"/>
    </xf>
    <xf numFmtId="0" fontId="25" fillId="3" borderId="1" xfId="226" applyNumberFormat="1" applyFont="1" applyFill="1" applyBorder="1" applyAlignment="1" applyProtection="1">
      <alignment horizontal="center"/>
      <protection locked="0"/>
    </xf>
    <xf numFmtId="183" fontId="25" fillId="3" borderId="1" xfId="226" applyNumberFormat="1" applyFont="1" applyFill="1" applyBorder="1" applyAlignment="1" applyProtection="1">
      <alignment horizontal="center"/>
      <protection locked="0"/>
    </xf>
    <xf numFmtId="0" fontId="26" fillId="3" borderId="2" xfId="226" applyNumberFormat="1" applyFont="1" applyFill="1" applyBorder="1" applyAlignment="1" applyProtection="1">
      <alignment horizontal="center"/>
      <protection locked="0"/>
    </xf>
    <xf numFmtId="0" fontId="10" fillId="11" borderId="1" xfId="226" applyNumberFormat="1" applyFont="1" applyFill="1" applyBorder="1" applyAlignment="1" applyProtection="1">
      <alignment horizontal="center"/>
      <protection locked="0"/>
    </xf>
    <xf numFmtId="0" fontId="7" fillId="0" borderId="6" xfId="264" applyFont="1" applyFill="1" applyBorder="1" applyAlignment="1" applyProtection="1">
      <alignment horizontal="center" vertical="center"/>
      <protection locked="0"/>
    </xf>
    <xf numFmtId="0" fontId="7" fillId="0" borderId="7" xfId="264" applyFont="1" applyFill="1" applyBorder="1" applyAlignment="1" applyProtection="1">
      <alignment horizontal="center" vertical="center"/>
      <protection locked="0"/>
    </xf>
    <xf numFmtId="0" fontId="7" fillId="16" borderId="6" xfId="264" applyFont="1" applyFill="1" applyBorder="1" applyAlignment="1" applyProtection="1">
      <alignment horizontal="center" vertical="center"/>
      <protection locked="0"/>
    </xf>
    <xf numFmtId="0" fontId="7" fillId="16" borderId="6" xfId="264" applyFont="1" applyFill="1" applyBorder="1" applyAlignment="1" applyProtection="1">
      <alignment horizontal="center" vertical="center" wrapText="1"/>
      <protection locked="0"/>
    </xf>
    <xf numFmtId="185" fontId="7" fillId="0" borderId="6" xfId="264" applyNumberFormat="1" applyFont="1" applyFill="1" applyBorder="1" applyAlignment="1" applyProtection="1">
      <alignment horizontal="center" vertical="center"/>
      <protection locked="0"/>
    </xf>
    <xf numFmtId="0" fontId="7" fillId="3" borderId="6" xfId="264" applyFont="1" applyFill="1" applyBorder="1" applyAlignment="1" applyProtection="1">
      <alignment horizontal="center" vertical="center"/>
      <protection locked="0"/>
    </xf>
    <xf numFmtId="0" fontId="7" fillId="0" borderId="6" xfId="264" applyFont="1" applyFill="1" applyBorder="1" applyAlignment="1" applyProtection="1">
      <alignment horizontal="left" vertical="center"/>
      <protection locked="0"/>
    </xf>
    <xf numFmtId="0" fontId="7" fillId="0" borderId="8" xfId="264" applyFont="1" applyFill="1" applyBorder="1" applyAlignment="1" applyProtection="1">
      <alignment horizontal="center" vertical="center"/>
      <protection locked="0"/>
    </xf>
    <xf numFmtId="0" fontId="5" fillId="0" borderId="1" xfId="6" applyNumberFormat="1" applyFont="1" applyFill="1" applyBorder="1" applyAlignment="1" applyProtection="1">
      <alignment horizontal="center" vertical="center"/>
      <protection locked="0"/>
    </xf>
    <xf numFmtId="0" fontId="27" fillId="7" borderId="1" xfId="287" applyNumberFormat="1" applyFont="1" applyFill="1" applyBorder="1" applyAlignment="1" applyProtection="1">
      <alignment horizontal="left" vertical="center"/>
      <protection locked="0"/>
    </xf>
    <xf numFmtId="0" fontId="7" fillId="0" borderId="9" xfId="226" applyNumberFormat="1" applyFont="1" applyFill="1" applyBorder="1" applyAlignment="1" applyProtection="1">
      <alignment horizontal="center"/>
      <protection locked="0"/>
    </xf>
    <xf numFmtId="0" fontId="7" fillId="0" borderId="3" xfId="226" applyNumberFormat="1" applyFont="1" applyFill="1" applyBorder="1" applyAlignment="1" applyProtection="1">
      <alignment horizontal="center"/>
      <protection locked="0"/>
    </xf>
    <xf numFmtId="0" fontId="7" fillId="0" borderId="2" xfId="226" applyNumberFormat="1" applyFont="1" applyFill="1" applyBorder="1" applyAlignment="1" applyProtection="1">
      <alignment horizontal="center"/>
      <protection locked="0"/>
    </xf>
    <xf numFmtId="189" fontId="28" fillId="0" borderId="7" xfId="264" applyNumberFormat="1" applyFont="1" applyFill="1" applyBorder="1" applyAlignment="1" applyProtection="1">
      <alignment vertical="center"/>
      <protection locked="0"/>
    </xf>
    <xf numFmtId="0" fontId="7" fillId="17" borderId="1" xfId="226" applyNumberFormat="1" applyFont="1" applyFill="1" applyBorder="1" applyAlignment="1" applyProtection="1">
      <alignment horizontal="center" vertical="center"/>
      <protection locked="0"/>
    </xf>
    <xf numFmtId="0" fontId="6" fillId="17" borderId="1" xfId="226" applyNumberFormat="1" applyFont="1" applyFill="1" applyBorder="1" applyAlignment="1" applyProtection="1">
      <alignment horizontal="left" vertical="center"/>
      <protection locked="0"/>
    </xf>
    <xf numFmtId="0" fontId="7" fillId="17" borderId="1" xfId="226" applyNumberFormat="1" applyFont="1" applyFill="1" applyBorder="1" applyAlignment="1" applyProtection="1">
      <alignment horizontal="center"/>
      <protection locked="0"/>
    </xf>
    <xf numFmtId="0" fontId="6" fillId="17" borderId="1" xfId="226" applyNumberFormat="1" applyFont="1" applyFill="1" applyBorder="1" applyAlignment="1" applyProtection="1">
      <alignment horizontal="center" vertical="center"/>
      <protection locked="0"/>
    </xf>
    <xf numFmtId="0" fontId="6" fillId="3" borderId="1" xfId="226" applyNumberFormat="1" applyFont="1" applyFill="1" applyBorder="1" applyAlignment="1" applyProtection="1">
      <alignment horizontal="left" vertical="center"/>
      <protection locked="0"/>
    </xf>
    <xf numFmtId="0" fontId="7" fillId="3" borderId="6" xfId="264" applyFont="1" applyFill="1" applyBorder="1" applyAlignment="1" applyProtection="1">
      <alignment horizontal="center" vertical="center" wrapText="1"/>
      <protection locked="0"/>
    </xf>
    <xf numFmtId="0" fontId="7" fillId="17" borderId="1" xfId="226" applyNumberFormat="1" applyFont="1" applyFill="1" applyBorder="1" applyAlignment="1" applyProtection="1">
      <alignment horizontal="center" vertical="center" wrapText="1"/>
      <protection locked="0"/>
    </xf>
    <xf numFmtId="0" fontId="7" fillId="17" borderId="1" xfId="226" applyNumberFormat="1" applyFont="1" applyFill="1" applyBorder="1" applyAlignment="1" applyProtection="1">
      <alignment horizontal="left" vertical="center" wrapText="1"/>
      <protection locked="0"/>
    </xf>
    <xf numFmtId="0" fontId="7" fillId="9" borderId="1" xfId="226" applyNumberFormat="1" applyFont="1" applyFill="1" applyBorder="1" applyAlignment="1" applyProtection="1">
      <alignment horizontal="center" vertical="center" wrapText="1"/>
      <protection locked="0"/>
    </xf>
    <xf numFmtId="0" fontId="6" fillId="15" borderId="1" xfId="264" applyFont="1" applyFill="1" applyBorder="1" applyAlignment="1" applyProtection="1">
      <alignment horizontal="center" vertical="center" wrapText="1"/>
      <protection locked="0"/>
    </xf>
    <xf numFmtId="0" fontId="6" fillId="15" borderId="1" xfId="264" applyFont="1" applyFill="1" applyBorder="1" applyAlignment="1" applyProtection="1">
      <alignment horizontal="left" vertical="center" wrapText="1"/>
      <protection locked="0"/>
    </xf>
    <xf numFmtId="189" fontId="7" fillId="16" borderId="6" xfId="264" applyNumberFormat="1" applyFont="1" applyFill="1" applyBorder="1" applyAlignment="1" applyProtection="1">
      <alignment vertical="center" wrapText="1"/>
      <protection locked="0"/>
    </xf>
    <xf numFmtId="0" fontId="7" fillId="16" borderId="6" xfId="264" applyFont="1" applyFill="1" applyBorder="1" applyAlignment="1" applyProtection="1">
      <alignment vertical="center" wrapText="1"/>
      <protection locked="0"/>
    </xf>
    <xf numFmtId="185" fontId="6" fillId="0" borderId="1" xfId="226" applyNumberFormat="1" applyFont="1" applyFill="1" applyBorder="1" applyAlignment="1" applyProtection="1">
      <alignment horizontal="left" vertical="center"/>
      <protection locked="0"/>
    </xf>
    <xf numFmtId="185" fontId="7" fillId="0" borderId="1" xfId="226" applyNumberFormat="1" applyFont="1" applyFill="1" applyBorder="1" applyAlignment="1" applyProtection="1">
      <alignment horizontal="center"/>
      <protection locked="0"/>
    </xf>
    <xf numFmtId="0" fontId="7" fillId="9" borderId="1" xfId="226" applyNumberFormat="1" applyFont="1" applyFill="1" applyBorder="1" applyAlignment="1" applyProtection="1">
      <alignment horizontal="center" vertical="center"/>
      <protection locked="0"/>
    </xf>
    <xf numFmtId="0" fontId="7" fillId="18" borderId="1" xfId="226" applyNumberFormat="1" applyFont="1" applyFill="1" applyBorder="1" applyAlignment="1" applyProtection="1">
      <alignment horizontal="center" vertical="center"/>
      <protection locked="0"/>
    </xf>
    <xf numFmtId="0" fontId="7" fillId="8" borderId="1" xfId="264" applyFont="1" applyFill="1" applyBorder="1" applyAlignment="1" applyProtection="1">
      <alignment horizontal="center" vertical="center"/>
      <protection locked="0"/>
    </xf>
    <xf numFmtId="9" fontId="7" fillId="8" borderId="1" xfId="264" applyNumberFormat="1" applyFont="1" applyFill="1" applyBorder="1" applyAlignment="1" applyProtection="1">
      <alignment horizontal="center" vertical="center"/>
      <protection locked="0"/>
    </xf>
    <xf numFmtId="185" fontId="7" fillId="0" borderId="6" xfId="188" applyNumberFormat="1" applyFont="1" applyFill="1" applyBorder="1" applyAlignment="1" applyProtection="1">
      <alignment horizontal="center" vertical="center" wrapText="1"/>
      <protection locked="0"/>
    </xf>
    <xf numFmtId="185" fontId="7" fillId="9" borderId="1" xfId="226" applyNumberFormat="1" applyFont="1" applyFill="1" applyBorder="1" applyAlignment="1" applyProtection="1">
      <alignment horizontal="center"/>
      <protection locked="0"/>
    </xf>
    <xf numFmtId="185" fontId="7" fillId="18" borderId="1" xfId="226" applyNumberFormat="1" applyFont="1" applyFill="1" applyBorder="1" applyAlignment="1" applyProtection="1">
      <alignment horizontal="center"/>
      <protection locked="0"/>
    </xf>
    <xf numFmtId="0" fontId="6" fillId="0" borderId="1" xfId="226" applyNumberFormat="1" applyFont="1" applyFill="1" applyBorder="1" applyAlignment="1" applyProtection="1">
      <alignment horizontal="center"/>
      <protection locked="0"/>
    </xf>
    <xf numFmtId="0" fontId="29" fillId="0" borderId="7" xfId="264" applyFont="1" applyFill="1" applyBorder="1" applyAlignment="1" applyProtection="1">
      <alignment vertical="center"/>
      <protection locked="0"/>
    </xf>
    <xf numFmtId="183" fontId="7" fillId="11" borderId="1" xfId="226" applyNumberFormat="1" applyFont="1" applyFill="1" applyBorder="1" applyAlignment="1" applyProtection="1">
      <alignment horizontal="center" vertical="center"/>
      <protection locked="0"/>
    </xf>
    <xf numFmtId="189" fontId="28" fillId="16" borderId="6" xfId="264" applyNumberFormat="1" applyFont="1" applyFill="1" applyBorder="1" applyAlignment="1" applyProtection="1">
      <alignment vertical="center"/>
      <protection locked="0"/>
    </xf>
    <xf numFmtId="0" fontId="29" fillId="16" borderId="6" xfId="264" applyFont="1" applyFill="1" applyBorder="1" applyAlignment="1" applyProtection="1">
      <alignment vertical="center"/>
      <protection locked="0"/>
    </xf>
    <xf numFmtId="0" fontId="30" fillId="0" borderId="1" xfId="226" applyNumberFormat="1" applyFont="1" applyFill="1" applyBorder="1" applyAlignment="1" applyProtection="1">
      <alignment horizontal="center"/>
      <protection locked="0"/>
    </xf>
    <xf numFmtId="0" fontId="30" fillId="11" borderId="1" xfId="226" applyNumberFormat="1" applyFont="1" applyFill="1" applyBorder="1" applyAlignment="1" applyProtection="1">
      <alignment horizontal="center"/>
      <protection locked="0"/>
    </xf>
    <xf numFmtId="0" fontId="30" fillId="9" borderId="1" xfId="226" applyNumberFormat="1" applyFont="1" applyFill="1" applyBorder="1" applyAlignment="1" applyProtection="1">
      <alignment horizontal="center"/>
      <protection locked="0"/>
    </xf>
    <xf numFmtId="190" fontId="6" fillId="11" borderId="10" xfId="220" applyNumberFormat="1" applyFont="1" applyFill="1" applyBorder="1" applyAlignment="1" applyProtection="1">
      <alignment horizontal="center" vertical="center" wrapText="1"/>
      <protection locked="0"/>
    </xf>
    <xf numFmtId="0" fontId="7" fillId="0" borderId="6" xfId="188" applyFont="1" applyFill="1" applyBorder="1" applyAlignment="1" applyProtection="1">
      <alignment horizontal="center" vertical="center" wrapText="1"/>
      <protection locked="0"/>
    </xf>
    <xf numFmtId="0" fontId="7" fillId="15" borderId="1" xfId="226" applyNumberFormat="1" applyFont="1" applyFill="1" applyBorder="1" applyAlignment="1" applyProtection="1">
      <alignment horizontal="center"/>
      <protection locked="0"/>
    </xf>
    <xf numFmtId="0" fontId="7" fillId="9" borderId="1" xfId="226" applyNumberFormat="1" applyFont="1" applyFill="1" applyBorder="1" applyAlignment="1" applyProtection="1">
      <alignment horizontal="center"/>
      <protection locked="0"/>
    </xf>
    <xf numFmtId="0" fontId="7" fillId="3" borderId="1" xfId="226" applyNumberFormat="1" applyFont="1" applyFill="1" applyBorder="1" applyAlignment="1" applyProtection="1">
      <alignment horizontal="center" vertical="center"/>
      <protection locked="0"/>
    </xf>
    <xf numFmtId="0" fontId="30" fillId="3" borderId="1" xfId="226" applyNumberFormat="1" applyFont="1" applyFill="1" applyBorder="1" applyAlignment="1" applyProtection="1">
      <alignment horizontal="center"/>
      <protection locked="0"/>
    </xf>
    <xf numFmtId="0" fontId="7" fillId="3" borderId="1" xfId="226" applyNumberFormat="1" applyFont="1" applyFill="1" applyBorder="1" applyAlignment="1" applyProtection="1">
      <alignment horizontal="center"/>
      <protection locked="0"/>
    </xf>
    <xf numFmtId="0" fontId="7" fillId="3" borderId="2" xfId="226" applyNumberFormat="1" applyFont="1" applyFill="1" applyBorder="1" applyAlignment="1" applyProtection="1">
      <alignment horizontal="center"/>
      <protection locked="0"/>
    </xf>
    <xf numFmtId="0" fontId="7" fillId="3" borderId="6" xfId="188" applyFont="1" applyFill="1" applyBorder="1" applyAlignment="1" applyProtection="1">
      <alignment horizontal="center" vertical="center" wrapText="1"/>
      <protection locked="0"/>
    </xf>
    <xf numFmtId="0" fontId="7" fillId="18" borderId="1" xfId="226" applyNumberFormat="1" applyFont="1" applyFill="1" applyBorder="1" applyAlignment="1" applyProtection="1">
      <alignment horizontal="center"/>
      <protection locked="0"/>
    </xf>
    <xf numFmtId="185" fontId="7" fillId="8" borderId="1" xfId="226" applyNumberFormat="1" applyFont="1" applyFill="1" applyBorder="1" applyAlignment="1" applyProtection="1">
      <alignment horizontal="center"/>
      <protection hidden="1"/>
    </xf>
    <xf numFmtId="0" fontId="6" fillId="3" borderId="1" xfId="226" applyNumberFormat="1" applyFont="1" applyFill="1" applyBorder="1" applyAlignment="1" applyProtection="1">
      <alignment horizontal="center"/>
      <protection locked="0"/>
    </xf>
    <xf numFmtId="0" fontId="7" fillId="3" borderId="0" xfId="264" applyFont="1" applyFill="1" applyBorder="1" applyAlignment="1" applyProtection="1">
      <alignment horizontal="center" vertical="center"/>
      <protection locked="0"/>
    </xf>
    <xf numFmtId="0" fontId="7" fillId="0" borderId="0" xfId="226" applyNumberFormat="1" applyFont="1" applyFill="1" applyBorder="1" applyAlignment="1" applyProtection="1">
      <alignment horizontal="center"/>
      <protection locked="0"/>
    </xf>
    <xf numFmtId="0" fontId="16" fillId="0" borderId="6" xfId="188" applyFont="1" applyFill="1" applyBorder="1" applyAlignment="1" applyProtection="1">
      <alignment horizontal="center" vertical="center"/>
      <protection locked="0"/>
    </xf>
    <xf numFmtId="0" fontId="7" fillId="0" borderId="11" xfId="264" applyFont="1" applyFill="1" applyBorder="1" applyAlignment="1" applyProtection="1">
      <alignment horizontal="left" vertical="center"/>
      <protection locked="0"/>
    </xf>
    <xf numFmtId="0" fontId="13" fillId="0" borderId="0" xfId="241" applyFont="1">
      <alignment vertical="center"/>
    </xf>
    <xf numFmtId="0" fontId="13" fillId="0" borderId="0" xfId="241" applyFont="1" applyAlignment="1">
      <alignment horizontal="center" vertical="center"/>
    </xf>
    <xf numFmtId="192" fontId="13" fillId="0" borderId="0" xfId="241" applyNumberFormat="1" applyFont="1">
      <alignment vertical="center"/>
    </xf>
    <xf numFmtId="0" fontId="13" fillId="0" borderId="1" xfId="241" applyFont="1" applyBorder="1">
      <alignment vertical="center"/>
    </xf>
    <xf numFmtId="0" fontId="4" fillId="0" borderId="0" xfId="226" applyNumberFormat="1" applyFont="1" applyFill="1" applyBorder="1" applyAlignment="1"/>
    <xf numFmtId="0" fontId="13" fillId="0" borderId="0" xfId="241" applyFont="1" applyBorder="1">
      <alignment vertical="center"/>
    </xf>
    <xf numFmtId="0" fontId="31" fillId="0" borderId="0" xfId="241" applyFont="1">
      <alignment vertical="center"/>
    </xf>
    <xf numFmtId="0" fontId="5" fillId="15" borderId="0" xfId="6" applyFont="1" applyFill="1" applyAlignment="1">
      <alignment horizontal="center" wrapText="1"/>
    </xf>
    <xf numFmtId="0" fontId="7" fillId="0" borderId="0" xfId="261" applyFont="1" applyAlignment="1">
      <alignment horizontal="center" vertical="center"/>
    </xf>
    <xf numFmtId="0" fontId="7" fillId="0" borderId="0" xfId="261" applyFont="1" applyAlignment="1">
      <alignment horizontal="left" vertical="center"/>
    </xf>
    <xf numFmtId="192" fontId="7" fillId="0" borderId="0" xfId="261" applyNumberFormat="1" applyFont="1" applyAlignment="1">
      <alignment horizontal="center" vertical="center"/>
    </xf>
    <xf numFmtId="192" fontId="6" fillId="0" borderId="0" xfId="261" applyNumberFormat="1" applyFont="1" applyAlignment="1">
      <alignment horizontal="center" vertical="center"/>
    </xf>
    <xf numFmtId="192" fontId="32" fillId="0" borderId="0" xfId="261" applyNumberFormat="1" applyFont="1" applyAlignment="1">
      <alignment horizontal="center" vertical="center" wrapText="1"/>
    </xf>
    <xf numFmtId="0" fontId="13" fillId="0" borderId="0" xfId="241" applyFont="1" applyAlignment="1">
      <alignment vertical="center"/>
    </xf>
    <xf numFmtId="0" fontId="7" fillId="0" borderId="0" xfId="261" applyFont="1" applyAlignment="1">
      <alignment vertical="center"/>
    </xf>
    <xf numFmtId="0" fontId="0" fillId="0" borderId="0" xfId="261" applyAlignment="1">
      <alignment horizontal="left" vertical="center"/>
    </xf>
    <xf numFmtId="0" fontId="0" fillId="0" borderId="0" xfId="261" applyAlignment="1">
      <alignment horizontal="center" vertical="center"/>
    </xf>
    <xf numFmtId="192" fontId="6" fillId="19" borderId="0" xfId="261" applyNumberFormat="1" applyFont="1" applyFill="1" applyAlignment="1">
      <alignment horizontal="center" vertical="center"/>
    </xf>
    <xf numFmtId="0" fontId="6" fillId="20" borderId="12" xfId="261" applyFont="1" applyFill="1" applyBorder="1" applyAlignment="1">
      <alignment horizontal="center" vertical="center"/>
    </xf>
    <xf numFmtId="0" fontId="6" fillId="20" borderId="12" xfId="261" applyFont="1" applyFill="1" applyBorder="1" applyAlignment="1">
      <alignment vertical="center"/>
    </xf>
    <xf numFmtId="0" fontId="7" fillId="20" borderId="12" xfId="261" applyFont="1" applyFill="1" applyBorder="1" applyAlignment="1">
      <alignment horizontal="left" vertical="center"/>
    </xf>
    <xf numFmtId="0" fontId="7" fillId="20" borderId="12" xfId="261" applyFont="1" applyFill="1" applyBorder="1" applyAlignment="1">
      <alignment horizontal="center" vertical="center"/>
    </xf>
    <xf numFmtId="192" fontId="7" fillId="20" borderId="12" xfId="261" applyNumberFormat="1" applyFont="1" applyFill="1" applyBorder="1" applyAlignment="1">
      <alignment horizontal="center" vertical="center"/>
    </xf>
    <xf numFmtId="192" fontId="32" fillId="0" borderId="13" xfId="261" applyNumberFormat="1" applyFont="1" applyBorder="1" applyAlignment="1">
      <alignment horizontal="center" vertical="center" wrapText="1"/>
    </xf>
    <xf numFmtId="0" fontId="17" fillId="0" borderId="14" xfId="241" applyFont="1" applyBorder="1" applyAlignment="1">
      <alignment vertical="center" wrapText="1"/>
    </xf>
    <xf numFmtId="0" fontId="17" fillId="18" borderId="15" xfId="241" applyFont="1" applyFill="1" applyBorder="1" applyAlignment="1">
      <alignment horizontal="center" vertical="top" wrapText="1"/>
    </xf>
    <xf numFmtId="0" fontId="6" fillId="0" borderId="16" xfId="261" applyFont="1" applyBorder="1" applyAlignment="1">
      <alignment horizontal="left" vertical="center"/>
    </xf>
    <xf numFmtId="0" fontId="7" fillId="0" borderId="16" xfId="261" applyFont="1" applyBorder="1" applyAlignment="1">
      <alignment vertical="center"/>
    </xf>
    <xf numFmtId="0" fontId="7" fillId="0" borderId="16" xfId="261" applyFont="1" applyBorder="1" applyAlignment="1">
      <alignment horizontal="center" vertical="center"/>
    </xf>
    <xf numFmtId="192" fontId="6" fillId="15" borderId="16" xfId="261" applyNumberFormat="1" applyFont="1" applyFill="1" applyBorder="1" applyAlignment="1">
      <alignment horizontal="center" vertical="center"/>
    </xf>
    <xf numFmtId="192" fontId="32" fillId="0" borderId="15" xfId="261" applyNumberFormat="1" applyFont="1" applyBorder="1" applyAlignment="1">
      <alignment vertical="center" wrapText="1"/>
    </xf>
    <xf numFmtId="0" fontId="6" fillId="21" borderId="17" xfId="278" applyFont="1" applyFill="1" applyBorder="1" applyAlignment="1" applyProtection="1">
      <alignment horizontal="center" vertical="center" wrapText="1"/>
      <protection locked="0"/>
    </xf>
    <xf numFmtId="0" fontId="17" fillId="0" borderId="18" xfId="241" applyFont="1" applyBorder="1" applyAlignment="1">
      <alignment vertical="center" wrapText="1"/>
    </xf>
    <xf numFmtId="0" fontId="17" fillId="18" borderId="19" xfId="241" applyFont="1" applyFill="1" applyBorder="1" applyAlignment="1">
      <alignment horizontal="center" vertical="top" wrapText="1"/>
    </xf>
    <xf numFmtId="0" fontId="6" fillId="0" borderId="20" xfId="261" applyFont="1" applyBorder="1" applyAlignment="1">
      <alignment horizontal="left" vertical="center"/>
    </xf>
    <xf numFmtId="0" fontId="7" fillId="0" borderId="20" xfId="261" applyFont="1" applyBorder="1" applyAlignment="1">
      <alignment vertical="center"/>
    </xf>
    <xf numFmtId="0" fontId="7" fillId="0" borderId="20" xfId="261" applyFont="1" applyBorder="1" applyAlignment="1">
      <alignment horizontal="center" vertical="center"/>
    </xf>
    <xf numFmtId="192" fontId="32" fillId="0" borderId="20" xfId="261" applyNumberFormat="1" applyFont="1" applyBorder="1" applyAlignment="1">
      <alignment vertical="center" wrapText="1"/>
    </xf>
    <xf numFmtId="0" fontId="6" fillId="21" borderId="19" xfId="278" applyFont="1" applyFill="1" applyBorder="1" applyAlignment="1" applyProtection="1">
      <alignment horizontal="center" vertical="center" wrapText="1"/>
      <protection locked="0"/>
    </xf>
    <xf numFmtId="0" fontId="24" fillId="0" borderId="2" xfId="241" applyBorder="1">
      <alignment vertical="center"/>
    </xf>
    <xf numFmtId="0" fontId="13" fillId="18" borderId="19" xfId="241" applyFont="1" applyFill="1" applyBorder="1" applyAlignment="1">
      <alignment horizontal="center" vertical="top" wrapText="1"/>
    </xf>
    <xf numFmtId="0" fontId="6" fillId="0" borderId="1" xfId="261" applyFont="1" applyBorder="1" applyAlignment="1">
      <alignment horizontal="left" vertical="center"/>
    </xf>
    <xf numFmtId="0" fontId="7" fillId="0" borderId="1" xfId="261" applyFont="1" applyBorder="1" applyAlignment="1">
      <alignment vertical="center"/>
    </xf>
    <xf numFmtId="0" fontId="7" fillId="0" borderId="1" xfId="261" applyFont="1" applyBorder="1" applyAlignment="1">
      <alignment horizontal="center" vertical="center"/>
    </xf>
    <xf numFmtId="192" fontId="6" fillId="0" borderId="1" xfId="261" applyNumberFormat="1" applyFont="1" applyBorder="1" applyAlignment="1">
      <alignment horizontal="center" vertical="center"/>
    </xf>
    <xf numFmtId="0" fontId="6" fillId="21" borderId="2" xfId="278" applyFont="1" applyFill="1" applyBorder="1" applyAlignment="1" applyProtection="1">
      <alignment horizontal="center" vertical="center" wrapText="1"/>
      <protection locked="0"/>
    </xf>
    <xf numFmtId="0" fontId="17" fillId="0" borderId="2" xfId="241" applyFont="1" applyBorder="1" applyAlignment="1">
      <alignment vertical="center" wrapText="1"/>
    </xf>
    <xf numFmtId="0" fontId="6" fillId="21" borderId="1" xfId="278" applyFont="1" applyFill="1" applyBorder="1" applyAlignment="1" applyProtection="1">
      <alignment horizontal="center" vertical="center" wrapText="1"/>
      <protection locked="0"/>
    </xf>
    <xf numFmtId="192" fontId="7" fillId="0" borderId="1" xfId="261" applyNumberFormat="1" applyFont="1" applyBorder="1" applyAlignment="1">
      <alignment horizontal="center" vertical="center"/>
    </xf>
    <xf numFmtId="0" fontId="6" fillId="0" borderId="1" xfId="278" applyFont="1" applyBorder="1" applyAlignment="1" applyProtection="1">
      <alignment horizontal="center" vertical="center" wrapText="1"/>
      <protection locked="0"/>
    </xf>
    <xf numFmtId="0" fontId="13" fillId="18" borderId="20" xfId="241" applyFont="1" applyFill="1" applyBorder="1" applyAlignment="1">
      <alignment horizontal="center" vertical="top" wrapText="1"/>
    </xf>
    <xf numFmtId="0" fontId="7" fillId="0" borderId="1" xfId="261" applyFont="1" applyBorder="1" applyAlignment="1">
      <alignment horizontal="left" vertical="center"/>
    </xf>
    <xf numFmtId="0" fontId="6" fillId="0" borderId="1" xfId="261" applyFont="1" applyBorder="1" applyAlignment="1">
      <alignment horizontal="center" vertical="center"/>
    </xf>
    <xf numFmtId="185" fontId="6" fillId="0" borderId="1" xfId="278" applyNumberFormat="1" applyFont="1" applyBorder="1" applyAlignment="1" applyProtection="1">
      <alignment horizontal="center" vertical="center" wrapText="1"/>
      <protection locked="0"/>
    </xf>
    <xf numFmtId="0" fontId="24" fillId="0" borderId="2" xfId="241" applyBorder="1" applyAlignment="1">
      <alignment vertical="center" wrapText="1"/>
    </xf>
    <xf numFmtId="0" fontId="6" fillId="10" borderId="1" xfId="261" applyFont="1" applyFill="1" applyBorder="1" applyAlignment="1">
      <alignment horizontal="left" vertical="center"/>
    </xf>
    <xf numFmtId="192" fontId="7" fillId="0" borderId="1" xfId="261" applyNumberFormat="1" applyFont="1" applyFill="1" applyBorder="1" applyAlignment="1">
      <alignment horizontal="center" vertical="center"/>
    </xf>
    <xf numFmtId="0" fontId="6" fillId="22" borderId="1" xfId="261" applyFont="1" applyFill="1" applyBorder="1" applyAlignment="1">
      <alignment horizontal="left" vertical="center"/>
    </xf>
    <xf numFmtId="0" fontId="6" fillId="0" borderId="2" xfId="261" applyFont="1" applyBorder="1" applyAlignment="1">
      <alignment horizontal="left" vertical="center" wrapText="1"/>
    </xf>
    <xf numFmtId="0" fontId="6" fillId="0" borderId="2" xfId="261" applyFont="1" applyBorder="1" applyAlignment="1">
      <alignment horizontal="left" vertical="center"/>
    </xf>
    <xf numFmtId="193" fontId="7" fillId="0" borderId="1" xfId="261" applyNumberFormat="1" applyFont="1" applyFill="1" applyBorder="1" applyAlignment="1">
      <alignment horizontal="center" vertical="center"/>
    </xf>
    <xf numFmtId="1" fontId="7" fillId="0" borderId="2" xfId="226" applyNumberFormat="1" applyFont="1" applyFill="1" applyBorder="1" applyAlignment="1">
      <alignment horizontal="left"/>
    </xf>
    <xf numFmtId="0" fontId="6" fillId="0" borderId="1" xfId="278" applyFont="1" applyFill="1" applyBorder="1" applyAlignment="1">
      <alignment horizontal="center" vertical="center" wrapText="1"/>
    </xf>
    <xf numFmtId="0" fontId="6" fillId="18" borderId="1" xfId="261" applyFont="1" applyFill="1" applyBorder="1" applyAlignment="1">
      <alignment horizontal="left" vertical="center"/>
    </xf>
    <xf numFmtId="0" fontId="7" fillId="18" borderId="1" xfId="261" applyFont="1" applyFill="1" applyBorder="1" applyAlignment="1">
      <alignment horizontal="left" vertical="center"/>
    </xf>
    <xf numFmtId="0" fontId="7" fillId="18" borderId="1" xfId="261" applyFont="1" applyFill="1" applyBorder="1" applyAlignment="1">
      <alignment horizontal="center" vertical="center"/>
    </xf>
    <xf numFmtId="192" fontId="6" fillId="11" borderId="16" xfId="261" applyNumberFormat="1" applyFont="1" applyFill="1" applyBorder="1" applyAlignment="1">
      <alignment horizontal="center" vertical="center"/>
    </xf>
    <xf numFmtId="192" fontId="10" fillId="18" borderId="1" xfId="261" applyNumberFormat="1" applyFont="1" applyFill="1" applyBorder="1" applyAlignment="1">
      <alignment horizontal="left" vertical="center"/>
    </xf>
    <xf numFmtId="192" fontId="10" fillId="0" borderId="1" xfId="261" applyNumberFormat="1" applyFont="1" applyFill="1" applyBorder="1" applyAlignment="1">
      <alignment horizontal="left" vertical="center"/>
    </xf>
    <xf numFmtId="192" fontId="10" fillId="0" borderId="1" xfId="261" applyNumberFormat="1" applyFont="1" applyBorder="1" applyAlignment="1">
      <alignment horizontal="left" vertical="center"/>
    </xf>
    <xf numFmtId="192" fontId="32" fillId="0" borderId="1" xfId="261" applyNumberFormat="1" applyFont="1" applyFill="1" applyBorder="1" applyAlignment="1">
      <alignment horizontal="left" vertical="center"/>
    </xf>
    <xf numFmtId="192" fontId="10" fillId="0" borderId="1" xfId="261" applyNumberFormat="1" applyFont="1" applyBorder="1" applyAlignment="1">
      <alignment horizontal="center" vertical="center"/>
    </xf>
    <xf numFmtId="0" fontId="24" fillId="0" borderId="21" xfId="241" applyBorder="1" applyAlignment="1">
      <alignment vertical="center" wrapText="1"/>
    </xf>
    <xf numFmtId="0" fontId="6" fillId="2" borderId="22" xfId="261" applyFont="1" applyFill="1" applyBorder="1" applyAlignment="1">
      <alignment horizontal="left" vertical="center"/>
    </xf>
    <xf numFmtId="0" fontId="6" fillId="0" borderId="22" xfId="261" applyFont="1" applyBorder="1" applyAlignment="1">
      <alignment horizontal="left" vertical="center"/>
    </xf>
    <xf numFmtId="0" fontId="7" fillId="0" borderId="22" xfId="261" applyFont="1" applyBorder="1" applyAlignment="1">
      <alignment horizontal="left" vertical="center"/>
    </xf>
    <xf numFmtId="0" fontId="7" fillId="0" borderId="22" xfId="261" applyFont="1" applyBorder="1" applyAlignment="1">
      <alignment horizontal="center" vertical="center"/>
    </xf>
    <xf numFmtId="192" fontId="7" fillId="0" borderId="22" xfId="261" applyNumberFormat="1" applyFont="1" applyBorder="1" applyAlignment="1">
      <alignment horizontal="center" vertical="center"/>
    </xf>
    <xf numFmtId="0" fontId="13" fillId="20" borderId="0" xfId="241" applyFont="1" applyFill="1">
      <alignment vertical="center"/>
    </xf>
    <xf numFmtId="0" fontId="0" fillId="0" borderId="3" xfId="278" applyBorder="1" applyAlignment="1">
      <alignment horizontal="center" vertical="center" wrapText="1"/>
    </xf>
    <xf numFmtId="0" fontId="0" fillId="23" borderId="0" xfId="278" applyFill="1" applyAlignment="1">
      <alignment horizontal="center" vertical="center" wrapText="1"/>
    </xf>
    <xf numFmtId="0" fontId="0" fillId="24" borderId="0" xfId="278" applyFill="1" applyAlignment="1">
      <alignment horizontal="center" vertical="center" wrapText="1"/>
    </xf>
    <xf numFmtId="0" fontId="0" fillId="25" borderId="0" xfId="278" applyFill="1" applyAlignment="1">
      <alignment horizontal="center" vertical="center" wrapText="1"/>
    </xf>
    <xf numFmtId="0" fontId="0" fillId="26" borderId="0" xfId="278" applyFill="1" applyAlignment="1">
      <alignment horizontal="center" vertical="center" wrapText="1"/>
    </xf>
    <xf numFmtId="0" fontId="0" fillId="27" borderId="0" xfId="278" applyFill="1" applyAlignment="1">
      <alignment horizontal="center" vertical="center" wrapText="1"/>
    </xf>
    <xf numFmtId="0" fontId="0" fillId="28" borderId="0" xfId="278" applyFill="1" applyAlignment="1">
      <alignment horizontal="center" vertical="center" wrapText="1"/>
    </xf>
    <xf numFmtId="0" fontId="0" fillId="29" borderId="0" xfId="278" applyFill="1" applyAlignment="1">
      <alignment horizontal="center" vertical="center" wrapText="1"/>
    </xf>
    <xf numFmtId="0" fontId="0" fillId="30" borderId="0" xfId="278" applyFill="1" applyAlignment="1">
      <alignment horizontal="center" vertical="center" wrapText="1"/>
    </xf>
    <xf numFmtId="0" fontId="0" fillId="31" borderId="0" xfId="278" applyFill="1" applyAlignment="1">
      <alignment horizontal="center" vertical="center" wrapText="1"/>
    </xf>
    <xf numFmtId="0" fontId="0" fillId="32" borderId="0" xfId="278" applyFill="1" applyAlignment="1">
      <alignment horizontal="center" vertical="center" wrapText="1"/>
    </xf>
    <xf numFmtId="0" fontId="0" fillId="33" borderId="0" xfId="278" applyFill="1" applyAlignment="1">
      <alignment horizontal="center" vertical="center" wrapText="1"/>
    </xf>
    <xf numFmtId="0" fontId="0" fillId="34" borderId="0" xfId="278" applyFill="1" applyAlignment="1">
      <alignment horizontal="center" vertical="center" wrapText="1"/>
    </xf>
    <xf numFmtId="0" fontId="0" fillId="35" borderId="0" xfId="278" applyFill="1" applyAlignment="1">
      <alignment horizontal="center" vertical="center" wrapText="1"/>
    </xf>
    <xf numFmtId="0" fontId="0" fillId="36" borderId="0" xfId="278" applyFill="1" applyAlignment="1">
      <alignment horizontal="center" vertical="center" wrapText="1"/>
    </xf>
    <xf numFmtId="0" fontId="0" fillId="37" borderId="0" xfId="278" applyFill="1" applyAlignment="1">
      <alignment horizontal="center" vertical="center" wrapText="1"/>
    </xf>
    <xf numFmtId="0" fontId="0" fillId="38" borderId="0" xfId="278" applyFill="1" applyAlignment="1">
      <alignment horizontal="center" vertical="center" wrapText="1"/>
    </xf>
    <xf numFmtId="0" fontId="0" fillId="39" borderId="0" xfId="278" applyFill="1" applyAlignment="1">
      <alignment horizontal="center" vertical="center" wrapText="1"/>
    </xf>
    <xf numFmtId="0" fontId="0" fillId="40" borderId="0" xfId="278" applyFill="1" applyAlignment="1">
      <alignment horizontal="center" vertical="center" wrapText="1"/>
    </xf>
    <xf numFmtId="0" fontId="0" fillId="21" borderId="0" xfId="278" applyFill="1" applyAlignment="1">
      <alignment horizontal="center" vertical="center" wrapText="1"/>
    </xf>
    <xf numFmtId="0" fontId="0" fillId="41" borderId="0" xfId="278" applyFill="1" applyAlignment="1">
      <alignment horizontal="center" vertical="center" wrapText="1"/>
    </xf>
    <xf numFmtId="0" fontId="0" fillId="42" borderId="0" xfId="278" applyFill="1" applyAlignment="1">
      <alignment horizontal="center" vertical="center" wrapText="1"/>
    </xf>
    <xf numFmtId="0" fontId="0" fillId="43" borderId="0" xfId="278" applyFill="1" applyAlignment="1">
      <alignment horizontal="center" vertical="center" wrapText="1"/>
    </xf>
    <xf numFmtId="0" fontId="0" fillId="44" borderId="0" xfId="278" applyFill="1" applyAlignment="1">
      <alignment horizontal="center" vertical="center" wrapText="1"/>
    </xf>
    <xf numFmtId="0" fontId="0" fillId="0" borderId="0" xfId="278" applyAlignment="1">
      <alignment horizontal="center" vertical="center" wrapText="1"/>
    </xf>
    <xf numFmtId="0" fontId="0" fillId="0" borderId="19" xfId="278" applyBorder="1" applyAlignment="1">
      <alignment horizontal="center" vertical="center" wrapText="1"/>
    </xf>
    <xf numFmtId="0" fontId="33" fillId="0" borderId="9" xfId="278" applyFont="1" applyBorder="1" applyAlignment="1">
      <alignment horizontal="center" vertical="center" wrapText="1"/>
    </xf>
    <xf numFmtId="0" fontId="33" fillId="0" borderId="3" xfId="278" applyFont="1" applyBorder="1" applyAlignment="1">
      <alignment horizontal="center" vertical="center" wrapText="1"/>
    </xf>
    <xf numFmtId="0" fontId="34" fillId="37" borderId="23" xfId="278" applyFont="1" applyFill="1" applyBorder="1" applyAlignment="1" applyProtection="1">
      <alignment horizontal="center" wrapText="1"/>
      <protection locked="0"/>
    </xf>
    <xf numFmtId="0" fontId="34" fillId="37" borderId="24" xfId="278" applyFont="1" applyFill="1" applyBorder="1" applyAlignment="1" applyProtection="1">
      <alignment horizontal="center" wrapText="1"/>
      <protection locked="0"/>
    </xf>
    <xf numFmtId="0" fontId="34" fillId="37" borderId="25" xfId="278" applyFont="1" applyFill="1" applyBorder="1" applyAlignment="1" applyProtection="1">
      <alignment horizontal="center" wrapText="1"/>
      <protection locked="0"/>
    </xf>
    <xf numFmtId="0" fontId="34" fillId="37" borderId="26" xfId="278" applyFont="1" applyFill="1" applyBorder="1" applyAlignment="1" applyProtection="1">
      <alignment horizontal="center" wrapText="1"/>
      <protection locked="0"/>
    </xf>
    <xf numFmtId="0" fontId="35" fillId="37" borderId="27" xfId="278" applyFont="1" applyFill="1" applyBorder="1" applyAlignment="1">
      <alignment horizontal="center" vertical="center" wrapText="1"/>
    </xf>
    <xf numFmtId="0" fontId="6" fillId="37" borderId="13" xfId="278" applyFont="1" applyFill="1" applyBorder="1" applyAlignment="1">
      <alignment horizontal="center" vertical="center" wrapText="1"/>
    </xf>
    <xf numFmtId="0" fontId="6" fillId="37" borderId="18" xfId="278" applyFont="1" applyFill="1" applyBorder="1" applyAlignment="1">
      <alignment horizontal="center" vertical="center" wrapText="1"/>
    </xf>
    <xf numFmtId="0" fontId="36" fillId="37" borderId="26" xfId="278" applyFont="1" applyFill="1" applyBorder="1" applyAlignment="1">
      <alignment horizontal="center" vertical="center" wrapText="1"/>
    </xf>
    <xf numFmtId="0" fontId="37" fillId="37" borderId="12" xfId="278" applyFont="1" applyFill="1" applyBorder="1" applyAlignment="1">
      <alignment horizontal="center" vertical="center" wrapText="1"/>
    </xf>
    <xf numFmtId="0" fontId="36" fillId="37" borderId="27" xfId="278" applyFont="1" applyFill="1" applyBorder="1" applyAlignment="1" applyProtection="1">
      <alignment horizontal="center" vertical="center" wrapText="1"/>
      <protection locked="0"/>
    </xf>
    <xf numFmtId="0" fontId="6" fillId="37" borderId="13" xfId="278" applyFont="1" applyFill="1" applyBorder="1" applyAlignment="1" applyProtection="1">
      <alignment horizontal="center" vertical="center" wrapText="1"/>
      <protection locked="0"/>
    </xf>
    <xf numFmtId="0" fontId="36" fillId="37" borderId="27" xfId="278" applyFont="1" applyFill="1" applyBorder="1" applyAlignment="1">
      <alignment horizontal="center" vertical="center" wrapText="1"/>
    </xf>
    <xf numFmtId="0" fontId="0" fillId="0" borderId="13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38" fillId="37" borderId="17" xfId="278" applyFont="1" applyFill="1" applyBorder="1" applyAlignment="1" applyProtection="1">
      <alignment horizontal="center" wrapText="1"/>
      <protection locked="0"/>
    </xf>
    <xf numFmtId="0" fontId="34" fillId="37" borderId="28" xfId="278" applyFont="1" applyFill="1" applyBorder="1" applyAlignment="1" applyProtection="1">
      <alignment horizontal="center" wrapText="1"/>
      <protection locked="0"/>
    </xf>
    <xf numFmtId="0" fontId="34" fillId="37" borderId="29" xfId="278" applyFont="1" applyFill="1" applyBorder="1" applyAlignment="1" applyProtection="1">
      <alignment horizontal="center" wrapText="1"/>
      <protection locked="0"/>
    </xf>
    <xf numFmtId="0" fontId="38" fillId="37" borderId="19" xfId="278" applyFont="1" applyFill="1" applyBorder="1" applyAlignment="1" applyProtection="1">
      <alignment horizontal="center" wrapText="1"/>
      <protection locked="0"/>
    </xf>
    <xf numFmtId="0" fontId="36" fillId="37" borderId="12" xfId="278" applyFont="1" applyFill="1" applyBorder="1" applyAlignment="1">
      <alignment horizontal="center" vertical="center" wrapText="1"/>
    </xf>
    <xf numFmtId="0" fontId="39" fillId="37" borderId="19" xfId="278" applyFont="1" applyFill="1" applyBorder="1" applyAlignment="1">
      <alignment horizontal="center" vertical="center" wrapText="1"/>
    </xf>
    <xf numFmtId="0" fontId="37" fillId="37" borderId="19" xfId="278" applyFont="1" applyFill="1" applyBorder="1" applyAlignment="1">
      <alignment horizontal="center" vertical="center" wrapText="1"/>
    </xf>
    <xf numFmtId="0" fontId="36" fillId="37" borderId="9" xfId="278" applyFont="1" applyFill="1" applyBorder="1" applyAlignment="1">
      <alignment horizontal="center" vertical="center" wrapText="1"/>
    </xf>
    <xf numFmtId="0" fontId="40" fillId="0" borderId="3" xfId="0" applyFont="1" applyFill="1" applyBorder="1" applyAlignment="1">
      <alignment vertical="center"/>
    </xf>
    <xf numFmtId="0" fontId="40" fillId="0" borderId="2" xfId="0" applyFont="1" applyFill="1" applyBorder="1" applyAlignment="1">
      <alignment vertical="center"/>
    </xf>
    <xf numFmtId="0" fontId="40" fillId="37" borderId="3" xfId="278" applyFont="1" applyFill="1" applyBorder="1" applyAlignment="1">
      <alignment horizontal="center" vertical="center" wrapText="1"/>
    </xf>
    <xf numFmtId="0" fontId="40" fillId="37" borderId="2" xfId="278" applyFont="1" applyFill="1" applyBorder="1" applyAlignment="1">
      <alignment horizontal="center" vertical="center" wrapText="1"/>
    </xf>
    <xf numFmtId="0" fontId="6" fillId="37" borderId="30" xfId="278" applyFont="1" applyFill="1" applyBorder="1" applyAlignment="1" applyProtection="1">
      <alignment horizontal="center" vertical="center" wrapText="1"/>
      <protection locked="0"/>
    </xf>
    <xf numFmtId="0" fontId="6" fillId="37" borderId="12" xfId="278" applyFont="1" applyFill="1" applyBorder="1" applyAlignment="1" applyProtection="1">
      <alignment horizontal="center" vertical="center" wrapText="1"/>
      <protection locked="0"/>
    </xf>
    <xf numFmtId="0" fontId="6" fillId="37" borderId="19" xfId="278" applyFont="1" applyFill="1" applyBorder="1" applyAlignment="1">
      <alignment horizontal="center" vertical="center" wrapText="1"/>
    </xf>
    <xf numFmtId="0" fontId="6" fillId="37" borderId="31" xfId="278" applyFont="1" applyFill="1" applyBorder="1" applyAlignment="1" applyProtection="1">
      <alignment horizontal="center" vertical="center" wrapText="1"/>
      <protection locked="0"/>
    </xf>
    <xf numFmtId="0" fontId="38" fillId="37" borderId="32" xfId="278" applyFont="1" applyFill="1" applyBorder="1" applyAlignment="1" applyProtection="1">
      <alignment horizontal="center" wrapText="1"/>
      <protection locked="0"/>
    </xf>
    <xf numFmtId="0" fontId="34" fillId="37" borderId="27" xfId="278" applyFont="1" applyFill="1" applyBorder="1" applyAlignment="1" applyProtection="1">
      <alignment horizontal="center" wrapText="1"/>
      <protection locked="0"/>
    </xf>
    <xf numFmtId="0" fontId="34" fillId="37" borderId="18" xfId="278" applyFont="1" applyFill="1" applyBorder="1" applyAlignment="1" applyProtection="1">
      <alignment horizontal="center" wrapText="1"/>
      <protection locked="0"/>
    </xf>
    <xf numFmtId="0" fontId="38" fillId="37" borderId="20" xfId="278" applyFont="1" applyFill="1" applyBorder="1" applyAlignment="1" applyProtection="1">
      <alignment horizontal="center" wrapText="1"/>
      <protection locked="0"/>
    </xf>
    <xf numFmtId="0" fontId="39" fillId="37" borderId="20" xfId="278" applyFont="1" applyFill="1" applyBorder="1" applyAlignment="1">
      <alignment horizontal="center" vertical="center" wrapText="1"/>
    </xf>
    <xf numFmtId="0" fontId="37" fillId="37" borderId="20" xfId="278" applyFont="1" applyFill="1" applyBorder="1" applyAlignment="1">
      <alignment horizontal="center" vertical="center" wrapText="1"/>
    </xf>
    <xf numFmtId="0" fontId="6" fillId="37" borderId="1" xfId="278" applyFont="1" applyFill="1" applyBorder="1" applyAlignment="1" applyProtection="1">
      <alignment horizontal="center" vertical="center" wrapText="1"/>
      <protection locked="0"/>
    </xf>
    <xf numFmtId="0" fontId="6" fillId="37" borderId="20" xfId="278" applyFont="1" applyFill="1" applyBorder="1" applyAlignment="1">
      <alignment horizontal="center" vertical="center" wrapText="1"/>
    </xf>
    <xf numFmtId="0" fontId="6" fillId="37" borderId="20" xfId="278" applyFont="1" applyFill="1" applyBorder="1" applyAlignment="1" applyProtection="1">
      <alignment horizontal="center" vertical="center" wrapText="1"/>
      <protection locked="0"/>
    </xf>
    <xf numFmtId="0" fontId="6" fillId="37" borderId="27" xfId="278" applyFont="1" applyFill="1" applyBorder="1" applyAlignment="1" applyProtection="1">
      <alignment horizontal="center" vertical="center" wrapText="1"/>
      <protection locked="0"/>
    </xf>
    <xf numFmtId="0" fontId="41" fillId="24" borderId="32" xfId="278" applyFont="1" applyFill="1" applyBorder="1" applyAlignment="1" applyProtection="1">
      <alignment horizontal="center" vertical="center" wrapText="1"/>
      <protection locked="0"/>
    </xf>
    <xf numFmtId="0" fontId="6" fillId="24" borderId="20" xfId="278" applyFont="1" applyFill="1" applyBorder="1" applyAlignment="1" applyProtection="1">
      <alignment horizontal="center" vertical="center" wrapText="1"/>
      <protection locked="0"/>
    </xf>
    <xf numFmtId="0" fontId="6" fillId="23" borderId="2" xfId="278" applyFont="1" applyFill="1" applyBorder="1" applyAlignment="1" applyProtection="1">
      <alignment horizontal="center" vertical="center" wrapText="1"/>
      <protection locked="0"/>
    </xf>
    <xf numFmtId="0" fontId="6" fillId="23" borderId="1" xfId="278" applyFont="1" applyFill="1" applyBorder="1" applyAlignment="1" applyProtection="1">
      <alignment horizontal="center" vertical="center" wrapText="1"/>
      <protection locked="0"/>
    </xf>
    <xf numFmtId="0" fontId="6" fillId="23" borderId="1" xfId="278" applyFont="1" applyFill="1" applyBorder="1" applyAlignment="1">
      <alignment horizontal="center" vertical="center" wrapText="1"/>
    </xf>
    <xf numFmtId="0" fontId="41" fillId="21" borderId="17" xfId="278" applyFont="1" applyFill="1" applyBorder="1" applyAlignment="1" applyProtection="1">
      <alignment horizontal="center" vertical="center" wrapText="1"/>
      <protection locked="0"/>
    </xf>
    <xf numFmtId="0" fontId="6" fillId="24" borderId="1" xfId="278" applyFont="1" applyFill="1" applyBorder="1" applyAlignment="1" applyProtection="1">
      <alignment horizontal="center" vertical="center" wrapText="1"/>
      <protection locked="0"/>
    </xf>
    <xf numFmtId="0" fontId="6" fillId="24" borderId="1" xfId="278" applyFont="1" applyFill="1" applyBorder="1" applyAlignment="1">
      <alignment horizontal="center" vertical="center" wrapText="1"/>
    </xf>
    <xf numFmtId="0" fontId="6" fillId="21" borderId="32" xfId="278" applyFont="1" applyFill="1" applyBorder="1" applyAlignment="1" applyProtection="1">
      <alignment horizontal="center" vertical="center" wrapText="1"/>
      <protection locked="0"/>
    </xf>
    <xf numFmtId="0" fontId="6" fillId="21" borderId="20" xfId="278" applyFont="1" applyFill="1" applyBorder="1" applyAlignment="1" applyProtection="1">
      <alignment horizontal="center" vertical="center" wrapText="1"/>
      <protection locked="0"/>
    </xf>
    <xf numFmtId="0" fontId="6" fillId="25" borderId="1" xfId="278" applyFont="1" applyFill="1" applyBorder="1" applyAlignment="1" applyProtection="1">
      <alignment horizontal="center" vertical="center" wrapText="1"/>
      <protection locked="0"/>
    </xf>
    <xf numFmtId="185" fontId="6" fillId="25" borderId="1" xfId="278" applyNumberFormat="1" applyFont="1" applyFill="1" applyBorder="1" applyAlignment="1" applyProtection="1">
      <alignment horizontal="center" vertical="center" wrapText="1"/>
      <protection locked="0"/>
    </xf>
    <xf numFmtId="0" fontId="6" fillId="25" borderId="1" xfId="278" applyFont="1" applyFill="1" applyBorder="1" applyAlignment="1">
      <alignment horizontal="center" vertical="center" wrapText="1"/>
    </xf>
    <xf numFmtId="0" fontId="41" fillId="24" borderId="33" xfId="278" applyFont="1" applyFill="1" applyBorder="1" applyAlignment="1" applyProtection="1">
      <alignment horizontal="center" vertical="center" wrapText="1"/>
      <protection locked="0"/>
    </xf>
    <xf numFmtId="0" fontId="6" fillId="26" borderId="1" xfId="278" applyFont="1" applyFill="1" applyBorder="1" applyAlignment="1" applyProtection="1">
      <alignment horizontal="center" vertical="center" wrapText="1"/>
      <protection locked="0"/>
    </xf>
    <xf numFmtId="0" fontId="6" fillId="26" borderId="2" xfId="278" applyFont="1" applyFill="1" applyBorder="1" applyAlignment="1" applyProtection="1">
      <alignment horizontal="center" vertical="center" wrapText="1"/>
      <protection locked="0"/>
    </xf>
    <xf numFmtId="0" fontId="6" fillId="26" borderId="1" xfId="278" applyFont="1" applyFill="1" applyBorder="1" applyAlignment="1">
      <alignment horizontal="center" vertical="center" wrapText="1"/>
    </xf>
    <xf numFmtId="0" fontId="6" fillId="24" borderId="17" xfId="278" applyFont="1" applyFill="1" applyBorder="1" applyAlignment="1" applyProtection="1">
      <alignment horizontal="center" vertical="center" wrapText="1"/>
      <protection locked="0"/>
    </xf>
    <xf numFmtId="0" fontId="6" fillId="27" borderId="1" xfId="278" applyFont="1" applyFill="1" applyBorder="1" applyAlignment="1" applyProtection="1">
      <alignment horizontal="center" vertical="center" wrapText="1"/>
      <protection locked="0"/>
    </xf>
    <xf numFmtId="0" fontId="6" fillId="27" borderId="1" xfId="278" applyFont="1" applyFill="1" applyBorder="1" applyAlignment="1">
      <alignment horizontal="center" vertical="center" wrapText="1"/>
    </xf>
    <xf numFmtId="0" fontId="6" fillId="24" borderId="19" xfId="278" applyFont="1" applyFill="1" applyBorder="1" applyAlignment="1" applyProtection="1">
      <alignment horizontal="center" vertical="center" wrapText="1"/>
      <protection locked="0"/>
    </xf>
    <xf numFmtId="0" fontId="6" fillId="28" borderId="1" xfId="278" applyFont="1" applyFill="1" applyBorder="1" applyAlignment="1" applyProtection="1">
      <alignment horizontal="center" vertical="center" wrapText="1"/>
      <protection locked="0"/>
    </xf>
    <xf numFmtId="0" fontId="6" fillId="28" borderId="1" xfId="278" applyFont="1" applyFill="1" applyBorder="1" applyAlignment="1">
      <alignment horizontal="center" vertical="center" wrapText="1"/>
    </xf>
    <xf numFmtId="0" fontId="6" fillId="29" borderId="1" xfId="278" applyFont="1" applyFill="1" applyBorder="1" applyAlignment="1" applyProtection="1">
      <alignment horizontal="center" vertical="center" wrapText="1"/>
      <protection locked="0"/>
    </xf>
    <xf numFmtId="0" fontId="6" fillId="29" borderId="1" xfId="278" applyFont="1" applyFill="1" applyBorder="1" applyAlignment="1">
      <alignment horizontal="center" vertical="center" wrapText="1"/>
    </xf>
    <xf numFmtId="0" fontId="6" fillId="30" borderId="1" xfId="278" applyFont="1" applyFill="1" applyBorder="1" applyAlignment="1" applyProtection="1">
      <alignment horizontal="center" vertical="center" wrapText="1"/>
      <protection locked="0"/>
    </xf>
    <xf numFmtId="0" fontId="6" fillId="30" borderId="1" xfId="278" applyFont="1" applyFill="1" applyBorder="1" applyAlignment="1">
      <alignment horizontal="center" vertical="center" wrapText="1"/>
    </xf>
    <xf numFmtId="0" fontId="6" fillId="31" borderId="1" xfId="278" applyFont="1" applyFill="1" applyBorder="1" applyAlignment="1" applyProtection="1">
      <alignment horizontal="center" vertical="center" wrapText="1"/>
      <protection locked="0"/>
    </xf>
    <xf numFmtId="0" fontId="6" fillId="31" borderId="1" xfId="278" applyFont="1" applyFill="1" applyBorder="1" applyAlignment="1">
      <alignment horizontal="center" vertical="center" wrapText="1"/>
    </xf>
    <xf numFmtId="0" fontId="6" fillId="29" borderId="19" xfId="278" applyFont="1" applyFill="1" applyBorder="1" applyAlignment="1" applyProtection="1">
      <alignment horizontal="center" vertical="center" wrapText="1"/>
      <protection locked="0"/>
    </xf>
    <xf numFmtId="0" fontId="6" fillId="29" borderId="2" xfId="278" applyFont="1" applyFill="1" applyBorder="1" applyAlignment="1" applyProtection="1">
      <alignment horizontal="center" vertical="center" wrapText="1"/>
      <protection locked="0"/>
    </xf>
    <xf numFmtId="0" fontId="41" fillId="21" borderId="33" xfId="278" applyFont="1" applyFill="1" applyBorder="1" applyAlignment="1" applyProtection="1">
      <alignment horizontal="center" vertical="center" wrapText="1"/>
      <protection locked="0"/>
    </xf>
    <xf numFmtId="0" fontId="6" fillId="32" borderId="1" xfId="278" applyFont="1" applyFill="1" applyBorder="1" applyAlignment="1" applyProtection="1">
      <alignment horizontal="center" vertical="center" wrapText="1"/>
      <protection locked="0"/>
    </xf>
    <xf numFmtId="0" fontId="6" fillId="32" borderId="2" xfId="278" applyFont="1" applyFill="1" applyBorder="1" applyAlignment="1" applyProtection="1">
      <alignment horizontal="center" vertical="center" wrapText="1"/>
      <protection locked="0"/>
    </xf>
    <xf numFmtId="0" fontId="6" fillId="32" borderId="1" xfId="278" applyFont="1" applyFill="1" applyBorder="1" applyAlignment="1">
      <alignment horizontal="center" vertical="center" wrapText="1"/>
    </xf>
    <xf numFmtId="0" fontId="6" fillId="33" borderId="1" xfId="278" applyFont="1" applyFill="1" applyBorder="1" applyAlignment="1" applyProtection="1">
      <alignment horizontal="center" vertical="center" wrapText="1"/>
      <protection locked="0"/>
    </xf>
    <xf numFmtId="0" fontId="6" fillId="33" borderId="1" xfId="278" applyFont="1" applyFill="1" applyBorder="1" applyAlignment="1">
      <alignment horizontal="center" vertical="center" wrapText="1"/>
    </xf>
    <xf numFmtId="185" fontId="6" fillId="32" borderId="1" xfId="278" applyNumberFormat="1" applyFont="1" applyFill="1" applyBorder="1" applyAlignment="1" applyProtection="1">
      <alignment horizontal="center" vertical="center" wrapText="1"/>
      <protection locked="0"/>
    </xf>
    <xf numFmtId="0" fontId="6" fillId="34" borderId="1" xfId="278" applyFont="1" applyFill="1" applyBorder="1" applyAlignment="1" applyProtection="1">
      <alignment horizontal="center" vertical="center" wrapText="1"/>
      <protection locked="0"/>
    </xf>
    <xf numFmtId="0" fontId="6" fillId="34" borderId="2" xfId="278" applyFont="1" applyFill="1" applyBorder="1" applyAlignment="1" applyProtection="1">
      <alignment horizontal="center" vertical="center" wrapText="1"/>
      <protection locked="0"/>
    </xf>
    <xf numFmtId="0" fontId="6" fillId="34" borderId="1" xfId="278" applyFont="1" applyFill="1" applyBorder="1" applyAlignment="1">
      <alignment horizontal="center" vertical="center" wrapText="1"/>
    </xf>
    <xf numFmtId="0" fontId="6" fillId="23" borderId="34" xfId="278" applyFont="1" applyFill="1" applyBorder="1" applyAlignment="1" applyProtection="1">
      <alignment horizontal="center" vertical="center" wrapText="1"/>
      <protection locked="0"/>
    </xf>
    <xf numFmtId="0" fontId="6" fillId="23" borderId="18" xfId="278" applyFont="1" applyFill="1" applyBorder="1" applyAlignment="1" applyProtection="1">
      <alignment horizontal="center" vertical="center" wrapText="1"/>
      <protection locked="0"/>
    </xf>
    <xf numFmtId="185" fontId="6" fillId="33" borderId="1" xfId="278" applyNumberFormat="1" applyFont="1" applyFill="1" applyBorder="1" applyAlignment="1" applyProtection="1">
      <alignment horizontal="center" vertical="center" wrapText="1"/>
      <protection locked="0"/>
    </xf>
    <xf numFmtId="0" fontId="6" fillId="24" borderId="32" xfId="278" applyFont="1" applyFill="1" applyBorder="1" applyAlignment="1" applyProtection="1">
      <alignment horizontal="center" vertical="center" wrapText="1"/>
      <protection locked="0"/>
    </xf>
    <xf numFmtId="0" fontId="6" fillId="35" borderId="12" xfId="278" applyFont="1" applyFill="1" applyBorder="1" applyAlignment="1" applyProtection="1">
      <alignment horizontal="center" vertical="center" wrapText="1"/>
      <protection locked="0"/>
    </xf>
    <xf numFmtId="0" fontId="6" fillId="35" borderId="2" xfId="278" applyFont="1" applyFill="1" applyBorder="1" applyAlignment="1" applyProtection="1">
      <alignment horizontal="center" vertical="center" wrapText="1"/>
      <protection locked="0"/>
    </xf>
    <xf numFmtId="0" fontId="6" fillId="35" borderId="1" xfId="278" applyFont="1" applyFill="1" applyBorder="1" applyAlignment="1" applyProtection="1">
      <alignment horizontal="center" vertical="center" wrapText="1"/>
      <protection locked="0"/>
    </xf>
    <xf numFmtId="0" fontId="6" fillId="35" borderId="1" xfId="278" applyFont="1" applyFill="1" applyBorder="1" applyAlignment="1">
      <alignment horizontal="center" vertical="center" wrapText="1"/>
    </xf>
    <xf numFmtId="0" fontId="6" fillId="36" borderId="1" xfId="278" applyFont="1" applyFill="1" applyBorder="1" applyAlignment="1" applyProtection="1">
      <alignment horizontal="center" vertical="center" wrapText="1"/>
      <protection locked="0"/>
    </xf>
    <xf numFmtId="0" fontId="6" fillId="36" borderId="2" xfId="278" applyFont="1" applyFill="1" applyBorder="1" applyAlignment="1" applyProtection="1">
      <alignment horizontal="center" vertical="center" wrapText="1"/>
      <protection locked="0"/>
    </xf>
    <xf numFmtId="0" fontId="6" fillId="36" borderId="1" xfId="278" applyFont="1" applyFill="1" applyBorder="1" applyAlignment="1">
      <alignment horizontal="center" vertical="center" wrapText="1"/>
    </xf>
    <xf numFmtId="0" fontId="6" fillId="37" borderId="2" xfId="278" applyFont="1" applyFill="1" applyBorder="1" applyAlignment="1" applyProtection="1">
      <alignment horizontal="center" vertical="center" wrapText="1"/>
      <protection locked="0"/>
    </xf>
    <xf numFmtId="0" fontId="6" fillId="37" borderId="1" xfId="278" applyFont="1" applyFill="1" applyBorder="1" applyAlignment="1">
      <alignment horizontal="center" vertical="center" wrapText="1"/>
    </xf>
    <xf numFmtId="0" fontId="6" fillId="38" borderId="20" xfId="278" applyFont="1" applyFill="1" applyBorder="1" applyAlignment="1" applyProtection="1">
      <alignment horizontal="center" vertical="center" wrapText="1"/>
      <protection locked="0"/>
    </xf>
    <xf numFmtId="0" fontId="6" fillId="38" borderId="2" xfId="278" applyFont="1" applyFill="1" applyBorder="1" applyAlignment="1" applyProtection="1">
      <alignment horizontal="center" vertical="center" wrapText="1"/>
      <protection locked="0"/>
    </xf>
    <xf numFmtId="0" fontId="6" fillId="38" borderId="1" xfId="278" applyFont="1" applyFill="1" applyBorder="1" applyAlignment="1" applyProtection="1">
      <alignment horizontal="center" vertical="center" wrapText="1"/>
      <protection locked="0"/>
    </xf>
    <xf numFmtId="0" fontId="6" fillId="38" borderId="1" xfId="278" applyFont="1" applyFill="1" applyBorder="1" applyAlignment="1">
      <alignment horizontal="center" vertical="center" wrapText="1"/>
    </xf>
    <xf numFmtId="0" fontId="42" fillId="21" borderId="2" xfId="278" applyFont="1" applyFill="1" applyBorder="1" applyAlignment="1" applyProtection="1">
      <alignment horizontal="center" vertical="center" wrapText="1"/>
      <protection locked="0"/>
    </xf>
    <xf numFmtId="0" fontId="37" fillId="21" borderId="12" xfId="278" applyFont="1" applyFill="1" applyBorder="1" applyAlignment="1" applyProtection="1">
      <alignment horizontal="center" vertical="center" wrapText="1"/>
      <protection locked="0"/>
    </xf>
    <xf numFmtId="0" fontId="36" fillId="21" borderId="20" xfId="278" applyFont="1" applyFill="1" applyBorder="1" applyAlignment="1" applyProtection="1">
      <alignment horizontal="center" vertical="center" wrapText="1"/>
      <protection locked="0"/>
    </xf>
    <xf numFmtId="0" fontId="41" fillId="32" borderId="17" xfId="278" applyFont="1" applyFill="1" applyBorder="1" applyAlignment="1" applyProtection="1">
      <alignment horizontal="center" vertical="center" wrapText="1"/>
      <protection locked="0"/>
    </xf>
    <xf numFmtId="0" fontId="6" fillId="32" borderId="19" xfId="278" applyFont="1" applyFill="1" applyBorder="1" applyAlignment="1" applyProtection="1">
      <alignment horizontal="center" vertical="center" wrapText="1"/>
      <protection locked="0"/>
    </xf>
    <xf numFmtId="185" fontId="6" fillId="37" borderId="1" xfId="278" applyNumberFormat="1" applyFont="1" applyFill="1" applyBorder="1" applyAlignment="1" applyProtection="1">
      <alignment horizontal="center" vertical="center" wrapText="1"/>
      <protection locked="0"/>
    </xf>
    <xf numFmtId="0" fontId="6" fillId="31" borderId="20" xfId="278" applyFont="1" applyFill="1" applyBorder="1" applyAlignment="1" applyProtection="1">
      <alignment horizontal="center" vertical="center" wrapText="1"/>
      <protection locked="0"/>
    </xf>
    <xf numFmtId="0" fontId="6" fillId="31" borderId="2" xfId="278" applyFont="1" applyFill="1" applyBorder="1" applyAlignment="1" applyProtection="1">
      <alignment horizontal="center" vertical="center" wrapText="1"/>
      <protection locked="0"/>
    </xf>
    <xf numFmtId="185" fontId="6" fillId="35" borderId="1" xfId="278" applyNumberFormat="1" applyFont="1" applyFill="1" applyBorder="1" applyAlignment="1" applyProtection="1">
      <alignment horizontal="center" vertical="center" wrapText="1"/>
      <protection locked="0"/>
    </xf>
    <xf numFmtId="0" fontId="6" fillId="26" borderId="20" xfId="278" applyFont="1" applyFill="1" applyBorder="1" applyAlignment="1" applyProtection="1">
      <alignment horizontal="center" vertical="center" wrapText="1"/>
      <protection locked="0"/>
    </xf>
    <xf numFmtId="0" fontId="6" fillId="35" borderId="20" xfId="278" applyFont="1" applyFill="1" applyBorder="1" applyAlignment="1" applyProtection="1">
      <alignment horizontal="center" vertical="center" wrapText="1"/>
      <protection locked="0"/>
    </xf>
    <xf numFmtId="0" fontId="41" fillId="21" borderId="35" xfId="278" applyFont="1" applyFill="1" applyBorder="1" applyAlignment="1" applyProtection="1">
      <alignment horizontal="center" vertical="center" wrapText="1"/>
      <protection locked="0"/>
    </xf>
    <xf numFmtId="0" fontId="6" fillId="34" borderId="12" xfId="278" applyFont="1" applyFill="1" applyBorder="1" applyAlignment="1" applyProtection="1">
      <alignment horizontal="center" vertical="center" wrapText="1"/>
      <protection locked="0"/>
    </xf>
    <xf numFmtId="185" fontId="6" fillId="34" borderId="1" xfId="278" applyNumberFormat="1" applyFont="1" applyFill="1" applyBorder="1" applyAlignment="1" applyProtection="1">
      <alignment horizontal="center" vertical="center" wrapText="1"/>
      <protection locked="0"/>
    </xf>
    <xf numFmtId="0" fontId="41" fillId="21" borderId="36" xfId="278" applyFont="1" applyFill="1" applyBorder="1" applyAlignment="1" applyProtection="1">
      <alignment horizontal="center" vertical="center" wrapText="1"/>
      <protection locked="0"/>
    </xf>
    <xf numFmtId="0" fontId="41" fillId="21" borderId="37" xfId="278" applyFont="1" applyFill="1" applyBorder="1" applyAlignment="1" applyProtection="1">
      <alignment horizontal="center" vertical="center" wrapText="1"/>
      <protection locked="0"/>
    </xf>
    <xf numFmtId="0" fontId="6" fillId="39" borderId="1" xfId="278" applyFont="1" applyFill="1" applyBorder="1" applyAlignment="1" applyProtection="1">
      <alignment horizontal="center" vertical="center" wrapText="1"/>
      <protection locked="0"/>
    </xf>
    <xf numFmtId="0" fontId="6" fillId="39" borderId="2" xfId="278" applyFont="1" applyFill="1" applyBorder="1" applyAlignment="1" applyProtection="1">
      <alignment horizontal="center" vertical="center" wrapText="1"/>
      <protection locked="0"/>
    </xf>
    <xf numFmtId="0" fontId="6" fillId="39" borderId="1" xfId="278" applyFont="1" applyFill="1" applyBorder="1" applyAlignment="1">
      <alignment horizontal="center" vertical="center" wrapText="1"/>
    </xf>
    <xf numFmtId="0" fontId="41" fillId="24" borderId="17" xfId="278" applyFont="1" applyFill="1" applyBorder="1" applyAlignment="1" applyProtection="1">
      <alignment horizontal="center" vertical="center" wrapText="1"/>
      <protection locked="0"/>
    </xf>
    <xf numFmtId="0" fontId="6" fillId="40" borderId="1" xfId="278" applyFont="1" applyFill="1" applyBorder="1" applyAlignment="1" applyProtection="1">
      <alignment horizontal="center" vertical="center" wrapText="1"/>
      <protection locked="0"/>
    </xf>
    <xf numFmtId="0" fontId="6" fillId="40" borderId="2" xfId="278" applyFont="1" applyFill="1" applyBorder="1" applyAlignment="1" applyProtection="1">
      <alignment horizontal="center" vertical="center" wrapText="1"/>
      <protection locked="0"/>
    </xf>
    <xf numFmtId="0" fontId="6" fillId="40" borderId="1" xfId="278" applyFont="1" applyFill="1" applyBorder="1" applyAlignment="1">
      <alignment horizontal="center" vertical="center" wrapText="1"/>
    </xf>
    <xf numFmtId="0" fontId="6" fillId="44" borderId="1" xfId="278" applyFont="1" applyFill="1" applyBorder="1" applyAlignment="1" applyProtection="1">
      <alignment horizontal="center" vertical="center" wrapText="1"/>
      <protection locked="0"/>
    </xf>
    <xf numFmtId="0" fontId="6" fillId="21" borderId="1" xfId="278" applyFont="1" applyFill="1" applyBorder="1" applyAlignment="1">
      <alignment horizontal="center" vertical="center" wrapText="1"/>
    </xf>
    <xf numFmtId="0" fontId="6" fillId="44" borderId="20" xfId="278" applyFont="1" applyFill="1" applyBorder="1" applyAlignment="1" applyProtection="1">
      <alignment horizontal="center" vertical="center" wrapText="1"/>
      <protection locked="0"/>
    </xf>
    <xf numFmtId="0" fontId="6" fillId="24" borderId="2" xfId="278" applyFont="1" applyFill="1" applyBorder="1" applyAlignment="1" applyProtection="1">
      <alignment horizontal="center" vertical="center" wrapText="1"/>
      <protection locked="0"/>
    </xf>
    <xf numFmtId="0" fontId="6" fillId="33" borderId="2" xfId="278" applyFont="1" applyFill="1" applyBorder="1" applyAlignment="1" applyProtection="1">
      <alignment horizontal="center" vertical="center" wrapText="1"/>
      <protection locked="0"/>
    </xf>
    <xf numFmtId="0" fontId="6" fillId="25" borderId="2" xfId="278" applyFont="1" applyFill="1" applyBorder="1" applyAlignment="1" applyProtection="1">
      <alignment horizontal="center" vertical="center" wrapText="1"/>
      <protection locked="0"/>
    </xf>
    <xf numFmtId="0" fontId="6" fillId="36" borderId="19" xfId="278" applyFont="1" applyFill="1" applyBorder="1" applyAlignment="1" applyProtection="1">
      <alignment horizontal="center" vertical="center" wrapText="1"/>
      <protection locked="0"/>
    </xf>
    <xf numFmtId="0" fontId="6" fillId="23" borderId="19" xfId="278" applyFont="1" applyFill="1" applyBorder="1" applyAlignment="1" applyProtection="1">
      <alignment horizontal="center" vertical="center" wrapText="1"/>
      <protection locked="0"/>
    </xf>
    <xf numFmtId="0" fontId="6" fillId="23" borderId="20" xfId="278" applyFont="1" applyFill="1" applyBorder="1" applyAlignment="1" applyProtection="1">
      <alignment horizontal="center" vertical="center" wrapText="1"/>
      <protection locked="0"/>
    </xf>
    <xf numFmtId="0" fontId="6" fillId="41" borderId="1" xfId="278" applyFont="1" applyFill="1" applyBorder="1" applyAlignment="1" applyProtection="1">
      <alignment horizontal="center" vertical="center" wrapText="1"/>
      <protection locked="0"/>
    </xf>
    <xf numFmtId="0" fontId="6" fillId="41" borderId="1" xfId="278" applyFont="1" applyFill="1" applyBorder="1" applyAlignment="1">
      <alignment horizontal="center" vertical="center" wrapText="1"/>
    </xf>
    <xf numFmtId="0" fontId="41" fillId="24" borderId="12" xfId="278" applyFont="1" applyFill="1" applyBorder="1" applyAlignment="1" applyProtection="1">
      <alignment horizontal="center" vertical="center" wrapText="1"/>
      <protection locked="0"/>
    </xf>
    <xf numFmtId="0" fontId="41" fillId="21" borderId="12" xfId="278" applyFont="1" applyFill="1" applyBorder="1" applyAlignment="1" applyProtection="1">
      <alignment horizontal="center" vertical="center" wrapText="1"/>
      <protection locked="0"/>
    </xf>
    <xf numFmtId="0" fontId="41" fillId="21" borderId="19" xfId="278" applyFont="1" applyFill="1" applyBorder="1" applyAlignment="1" applyProtection="1">
      <alignment horizontal="center" vertical="center" wrapText="1"/>
      <protection locked="0"/>
    </xf>
    <xf numFmtId="0" fontId="6" fillId="21" borderId="34" xfId="278" applyFont="1" applyFill="1" applyBorder="1" applyAlignment="1" applyProtection="1">
      <alignment horizontal="center" vertical="center" wrapText="1"/>
      <protection locked="0"/>
    </xf>
    <xf numFmtId="0" fontId="6" fillId="21" borderId="18" xfId="278" applyFont="1" applyFill="1" applyBorder="1" applyAlignment="1" applyProtection="1">
      <alignment horizontal="center" vertical="center" wrapText="1"/>
      <protection locked="0"/>
    </xf>
    <xf numFmtId="0" fontId="6" fillId="21" borderId="29" xfId="278" applyFont="1" applyFill="1" applyBorder="1" applyAlignment="1" applyProtection="1">
      <alignment horizontal="center" vertical="center" wrapText="1"/>
      <protection locked="0"/>
    </xf>
    <xf numFmtId="0" fontId="6" fillId="34" borderId="18" xfId="278" applyFont="1" applyFill="1" applyBorder="1" applyAlignment="1" applyProtection="1">
      <alignment horizontal="center" vertical="center" wrapText="1"/>
      <protection locked="0"/>
    </xf>
    <xf numFmtId="0" fontId="41" fillId="24" borderId="36" xfId="278" applyFont="1" applyFill="1" applyBorder="1" applyAlignment="1" applyProtection="1">
      <alignment horizontal="center" vertical="center" wrapText="1"/>
      <protection locked="0"/>
    </xf>
    <xf numFmtId="0" fontId="6" fillId="24" borderId="37" xfId="278" applyFont="1" applyFill="1" applyBorder="1" applyAlignment="1" applyProtection="1">
      <alignment horizontal="center" vertical="center" wrapText="1"/>
      <protection locked="0"/>
    </xf>
    <xf numFmtId="0" fontId="6" fillId="42" borderId="1" xfId="278" applyFont="1" applyFill="1" applyBorder="1" applyAlignment="1" applyProtection="1">
      <alignment horizontal="center" vertical="center" wrapText="1"/>
      <protection locked="0"/>
    </xf>
    <xf numFmtId="0" fontId="6" fillId="42" borderId="2" xfId="278" applyFont="1" applyFill="1" applyBorder="1" applyAlignment="1" applyProtection="1">
      <alignment horizontal="center" vertical="center" wrapText="1"/>
      <protection locked="0"/>
    </xf>
    <xf numFmtId="0" fontId="6" fillId="42" borderId="1" xfId="278" applyFont="1" applyFill="1" applyBorder="1" applyAlignment="1">
      <alignment horizontal="center" vertical="center" wrapText="1"/>
    </xf>
    <xf numFmtId="0" fontId="6" fillId="21" borderId="36" xfId="278" applyFont="1" applyFill="1" applyBorder="1" applyAlignment="1" applyProtection="1">
      <alignment horizontal="center" vertical="center" wrapText="1"/>
      <protection locked="0"/>
    </xf>
    <xf numFmtId="0" fontId="6" fillId="21" borderId="37" xfId="278" applyFont="1" applyFill="1" applyBorder="1" applyAlignment="1" applyProtection="1">
      <alignment horizontal="center" vertical="center" wrapText="1"/>
      <protection locked="0"/>
    </xf>
    <xf numFmtId="0" fontId="6" fillId="42" borderId="20" xfId="278" applyFont="1" applyFill="1" applyBorder="1" applyAlignment="1" applyProtection="1">
      <alignment horizontal="center" vertical="center" wrapText="1"/>
      <protection locked="0"/>
    </xf>
    <xf numFmtId="0" fontId="6" fillId="43" borderId="1" xfId="278" applyFont="1" applyFill="1" applyBorder="1" applyAlignment="1" applyProtection="1">
      <alignment horizontal="center" vertical="center" wrapText="1"/>
      <protection locked="0"/>
    </xf>
    <xf numFmtId="0" fontId="6" fillId="43" borderId="2" xfId="278" applyFont="1" applyFill="1" applyBorder="1" applyAlignment="1" applyProtection="1">
      <alignment horizontal="center" vertical="center" wrapText="1"/>
      <protection locked="0"/>
    </xf>
    <xf numFmtId="0" fontId="6" fillId="43" borderId="1" xfId="278" applyFont="1" applyFill="1" applyBorder="1" applyAlignment="1">
      <alignment horizontal="center" vertical="center" wrapText="1"/>
    </xf>
    <xf numFmtId="185" fontId="6" fillId="23" borderId="1" xfId="278" applyNumberFormat="1" applyFont="1" applyFill="1" applyBorder="1" applyAlignment="1" applyProtection="1">
      <alignment horizontal="center" vertical="center" wrapText="1"/>
      <protection locked="0"/>
    </xf>
    <xf numFmtId="0" fontId="6" fillId="29" borderId="20" xfId="278" applyFont="1" applyFill="1" applyBorder="1" applyAlignment="1" applyProtection="1">
      <alignment horizontal="center" vertical="center" wrapText="1"/>
      <protection locked="0"/>
    </xf>
    <xf numFmtId="0" fontId="6" fillId="31" borderId="19" xfId="278" applyFont="1" applyFill="1" applyBorder="1" applyAlignment="1" applyProtection="1">
      <alignment horizontal="center" vertical="center" wrapText="1"/>
      <protection locked="0"/>
    </xf>
    <xf numFmtId="0" fontId="6" fillId="24" borderId="12" xfId="278" applyFont="1" applyFill="1" applyBorder="1" applyAlignment="1" applyProtection="1">
      <alignment horizontal="center" vertical="center" wrapText="1"/>
      <protection locked="0"/>
    </xf>
    <xf numFmtId="185" fontId="6" fillId="21" borderId="1" xfId="278" applyNumberFormat="1" applyFont="1" applyFill="1" applyBorder="1" applyAlignment="1" applyProtection="1">
      <alignment horizontal="center" vertical="center" wrapText="1"/>
      <protection locked="0"/>
    </xf>
    <xf numFmtId="0" fontId="6" fillId="24" borderId="18" xfId="278" applyFont="1" applyFill="1" applyBorder="1" applyAlignment="1" applyProtection="1">
      <alignment horizontal="center" vertical="center" wrapText="1"/>
      <protection locked="0"/>
    </xf>
    <xf numFmtId="0" fontId="6" fillId="38" borderId="12" xfId="278" applyFont="1" applyFill="1" applyBorder="1" applyAlignment="1" applyProtection="1">
      <alignment horizontal="center" vertical="center" wrapText="1"/>
      <protection locked="0"/>
    </xf>
    <xf numFmtId="0" fontId="6" fillId="38" borderId="34" xfId="278" applyFont="1" applyFill="1" applyBorder="1" applyAlignment="1" applyProtection="1">
      <alignment horizontal="center" vertical="center" wrapText="1"/>
      <protection locked="0"/>
    </xf>
    <xf numFmtId="0" fontId="6" fillId="38" borderId="12" xfId="278" applyFont="1" applyFill="1" applyBorder="1" applyAlignment="1">
      <alignment horizontal="center" vertical="center" wrapText="1"/>
    </xf>
    <xf numFmtId="0" fontId="34" fillId="24" borderId="38" xfId="278" applyFont="1" applyFill="1" applyBorder="1" applyAlignment="1" applyProtection="1">
      <alignment horizontal="center" vertical="center"/>
      <protection locked="0"/>
    </xf>
    <xf numFmtId="0" fontId="34" fillId="24" borderId="39" xfId="278" applyFont="1" applyFill="1" applyBorder="1" applyAlignment="1" applyProtection="1">
      <alignment horizontal="center" vertical="center"/>
      <protection locked="0"/>
    </xf>
    <xf numFmtId="0" fontId="6" fillId="37" borderId="18" xfId="278" applyFont="1" applyFill="1" applyBorder="1" applyAlignment="1" applyProtection="1">
      <alignment horizontal="center" vertical="center" wrapText="1"/>
      <protection locked="0"/>
    </xf>
    <xf numFmtId="185" fontId="6" fillId="37" borderId="20" xfId="278" applyNumberFormat="1" applyFont="1" applyFill="1" applyBorder="1" applyAlignment="1" applyProtection="1">
      <alignment horizontal="center" vertical="center" wrapText="1"/>
      <protection locked="0"/>
    </xf>
    <xf numFmtId="0" fontId="6" fillId="21" borderId="40" xfId="278" applyFont="1" applyFill="1" applyBorder="1" applyAlignment="1" applyProtection="1">
      <alignment horizontal="center" vertical="center" wrapText="1"/>
      <protection locked="0"/>
    </xf>
    <xf numFmtId="0" fontId="6" fillId="42" borderId="41" xfId="278" applyFont="1" applyFill="1" applyBorder="1" applyAlignment="1" applyProtection="1">
      <alignment horizontal="center" vertical="center" wrapText="1"/>
      <protection locked="0"/>
    </xf>
    <xf numFmtId="0" fontId="6" fillId="42" borderId="42" xfId="278" applyFont="1" applyFill="1" applyBorder="1" applyAlignment="1" applyProtection="1">
      <alignment horizontal="center" vertical="center" wrapText="1"/>
      <protection locked="0"/>
    </xf>
    <xf numFmtId="0" fontId="6" fillId="42" borderId="12" xfId="278" applyFont="1" applyFill="1" applyBorder="1" applyAlignment="1" applyProtection="1">
      <alignment horizontal="center" vertical="center" wrapText="1"/>
      <protection locked="0"/>
    </xf>
    <xf numFmtId="185" fontId="6" fillId="42" borderId="43" xfId="278" applyNumberFormat="1" applyFont="1" applyFill="1" applyBorder="1" applyAlignment="1" applyProtection="1">
      <alignment horizontal="center" vertical="center" wrapText="1"/>
      <protection locked="0"/>
    </xf>
    <xf numFmtId="0" fontId="6" fillId="42" borderId="43" xfId="278" applyFont="1" applyFill="1" applyBorder="1" applyAlignment="1" applyProtection="1">
      <alignment horizontal="center" vertical="center" wrapText="1"/>
      <protection locked="0"/>
    </xf>
    <xf numFmtId="0" fontId="41" fillId="23" borderId="9" xfId="278" applyFont="1" applyFill="1" applyBorder="1" applyAlignment="1" applyProtection="1">
      <alignment horizontal="center" vertical="center" wrapText="1"/>
      <protection locked="0"/>
    </xf>
    <xf numFmtId="0" fontId="43" fillId="0" borderId="0" xfId="278" applyFont="1" applyAlignment="1">
      <alignment horizontal="center" vertical="center" wrapText="1"/>
    </xf>
    <xf numFmtId="0" fontId="0" fillId="0" borderId="0" xfId="278" applyAlignment="1" applyProtection="1">
      <alignment horizontal="center" vertical="center" wrapText="1"/>
      <protection locked="0"/>
    </xf>
    <xf numFmtId="0" fontId="0" fillId="0" borderId="19" xfId="278" applyBorder="1" applyAlignment="1" applyProtection="1">
      <alignment horizontal="center" vertical="center" wrapText="1"/>
      <protection locked="0"/>
    </xf>
  </cellXfs>
  <cellStyles count="39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 2" xfId="49"/>
    <cellStyle name="0,0_x000d__x000a_NA_x000d__x000a_ 3" xfId="50"/>
    <cellStyle name="20% - 輔色1" xfId="51"/>
    <cellStyle name="20% - 輔色1 2" xfId="52"/>
    <cellStyle name="20% - 輔色1 2 2" xfId="53"/>
    <cellStyle name="20% - 輔色1 3" xfId="54"/>
    <cellStyle name="20% - 輔色1 4" xfId="55"/>
    <cellStyle name="20% - 輔色2" xfId="56"/>
    <cellStyle name="20% - 輔色2 2" xfId="57"/>
    <cellStyle name="20% - 輔色2 2 2" xfId="58"/>
    <cellStyle name="20% - 輔色2 3" xfId="59"/>
    <cellStyle name="20% - 輔色2 4" xfId="60"/>
    <cellStyle name="20% - 輔色3" xfId="61"/>
    <cellStyle name="20% - 輔色3 2" xfId="62"/>
    <cellStyle name="20% - 輔色3 2 2" xfId="63"/>
    <cellStyle name="20% - 輔色3 3" xfId="64"/>
    <cellStyle name="20% - 輔色3 4" xfId="65"/>
    <cellStyle name="20% - 輔色4" xfId="66"/>
    <cellStyle name="20% - 輔色4 2" xfId="67"/>
    <cellStyle name="20% - 輔色4 2 2" xfId="68"/>
    <cellStyle name="20% - 輔色4 3" xfId="69"/>
    <cellStyle name="20% - 輔色4 4" xfId="70"/>
    <cellStyle name="20% - 輔色5" xfId="71"/>
    <cellStyle name="20% - 輔色5 2" xfId="72"/>
    <cellStyle name="20% - 輔色5 2 2" xfId="73"/>
    <cellStyle name="20% - 輔色5 3" xfId="74"/>
    <cellStyle name="20% - 輔色5 4" xfId="75"/>
    <cellStyle name="20% - 輔色6" xfId="76"/>
    <cellStyle name="20% - 輔色6 2" xfId="77"/>
    <cellStyle name="20% - 輔色6 2 2" xfId="78"/>
    <cellStyle name="20% - 輔色6 3" xfId="79"/>
    <cellStyle name="20% - 輔色6 4" xfId="80"/>
    <cellStyle name="40% - 輔色1" xfId="81"/>
    <cellStyle name="40% - 輔色1 2" xfId="82"/>
    <cellStyle name="40% - 輔色1 2 2" xfId="83"/>
    <cellStyle name="40% - 輔色1 3" xfId="84"/>
    <cellStyle name="40% - 輔色1 4" xfId="85"/>
    <cellStyle name="40% - 輔色2" xfId="86"/>
    <cellStyle name="40% - 輔色2 2" xfId="87"/>
    <cellStyle name="40% - 輔色2 2 2" xfId="88"/>
    <cellStyle name="40% - 輔色2 3" xfId="89"/>
    <cellStyle name="40% - 輔色2 4" xfId="90"/>
    <cellStyle name="40% - 輔色3" xfId="91"/>
    <cellStyle name="40% - 輔色3 2" xfId="92"/>
    <cellStyle name="40% - 輔色3 2 2" xfId="93"/>
    <cellStyle name="40% - 輔色3 3" xfId="94"/>
    <cellStyle name="40% - 輔色3 4" xfId="95"/>
    <cellStyle name="40% - 輔色4" xfId="96"/>
    <cellStyle name="40% - 輔色4 2" xfId="97"/>
    <cellStyle name="40% - 輔色4 2 2" xfId="98"/>
    <cellStyle name="40% - 輔色4 3" xfId="99"/>
    <cellStyle name="40% - 輔色4 4" xfId="100"/>
    <cellStyle name="40% - 輔色5" xfId="101"/>
    <cellStyle name="40% - 輔色5 2" xfId="102"/>
    <cellStyle name="40% - 輔色5 2 2" xfId="103"/>
    <cellStyle name="40% - 輔色5 3" xfId="104"/>
    <cellStyle name="40% - 輔色5 4" xfId="105"/>
    <cellStyle name="40% - 輔色6" xfId="106"/>
    <cellStyle name="40% - 輔色6 2" xfId="107"/>
    <cellStyle name="40% - 輔色6 2 2" xfId="108"/>
    <cellStyle name="40% - 輔色6 3" xfId="109"/>
    <cellStyle name="40% - 輔色6 4" xfId="110"/>
    <cellStyle name="60% - 輔色1" xfId="111"/>
    <cellStyle name="60% - 輔色1 2" xfId="112"/>
    <cellStyle name="60% - 輔色1 2 2" xfId="113"/>
    <cellStyle name="60% - 輔色1 3" xfId="114"/>
    <cellStyle name="60% - 輔色2" xfId="115"/>
    <cellStyle name="60% - 輔色2 2" xfId="116"/>
    <cellStyle name="60% - 輔色2 2 2" xfId="117"/>
    <cellStyle name="60% - 輔色2 3" xfId="118"/>
    <cellStyle name="60% - 輔色3" xfId="119"/>
    <cellStyle name="60% - 輔色3 2" xfId="120"/>
    <cellStyle name="60% - 輔色3 2 2" xfId="121"/>
    <cellStyle name="60% - 輔色3 3" xfId="122"/>
    <cellStyle name="60% - 輔色4" xfId="123"/>
    <cellStyle name="60% - 輔色4 2" xfId="124"/>
    <cellStyle name="60% - 輔色4 2 2" xfId="125"/>
    <cellStyle name="60% - 輔色4 3" xfId="126"/>
    <cellStyle name="60% - 輔色5" xfId="127"/>
    <cellStyle name="60% - 輔色5 2" xfId="128"/>
    <cellStyle name="60% - 輔色5 2 2" xfId="129"/>
    <cellStyle name="60% - 輔色5 3" xfId="130"/>
    <cellStyle name="60% - 輔色6" xfId="131"/>
    <cellStyle name="60% - 輔色6 2" xfId="132"/>
    <cellStyle name="60% - 輔色6 2 2" xfId="133"/>
    <cellStyle name="60% - 輔色6 3" xfId="134"/>
    <cellStyle name="Grey" xfId="135"/>
    <cellStyle name="Header1" xfId="136"/>
    <cellStyle name="Header2" xfId="137"/>
    <cellStyle name="Hyperlink_Copy of 899604-41-CA-0001_A_04" xfId="138"/>
    <cellStyle name="Input [yellow]" xfId="139"/>
    <cellStyle name="Normal - Style1" xfId="140"/>
    <cellStyle name="Normal 2" xfId="141"/>
    <cellStyle name="Normal 2 2" xfId="142"/>
    <cellStyle name="Normal 2 3" xfId="143"/>
    <cellStyle name="Normal 2 4" xfId="144"/>
    <cellStyle name="Normal 3" xfId="145"/>
    <cellStyle name="Normal 3 2" xfId="146"/>
    <cellStyle name="Normal 3 2 2" xfId="147"/>
    <cellStyle name="Normal 4" xfId="148"/>
    <cellStyle name="Normal_Copy of 899604-41-CA-0001_A_04" xfId="149"/>
    <cellStyle name="Percent [2]" xfId="150"/>
    <cellStyle name="Percent [2] 2" xfId="151"/>
    <cellStyle name="Style 1" xfId="152"/>
    <cellStyle name="百分比 2" xfId="153"/>
    <cellStyle name="百分比 2 2" xfId="154"/>
    <cellStyle name="百分比 2 2 2" xfId="155"/>
    <cellStyle name="百分比 2 3" xfId="156"/>
    <cellStyle name="百分比 2 4" xfId="157"/>
    <cellStyle name="百分比 3" xfId="158"/>
    <cellStyle name="百分比 3 2" xfId="159"/>
    <cellStyle name="備註" xfId="160"/>
    <cellStyle name="備註 2" xfId="161"/>
    <cellStyle name="備註 2 2" xfId="162"/>
    <cellStyle name="備註 3" xfId="163"/>
    <cellStyle name="标题 1 2" xfId="164"/>
    <cellStyle name="标题 2 2" xfId="165"/>
    <cellStyle name="标题 3 2" xfId="166"/>
    <cellStyle name="标题 4 2" xfId="167"/>
    <cellStyle name="标题 5" xfId="168"/>
    <cellStyle name="標題" xfId="169"/>
    <cellStyle name="標題 1" xfId="170"/>
    <cellStyle name="標題 1 2" xfId="171"/>
    <cellStyle name="標題 2" xfId="172"/>
    <cellStyle name="標題 2 2" xfId="173"/>
    <cellStyle name="標題 3" xfId="174"/>
    <cellStyle name="標題 3 2" xfId="175"/>
    <cellStyle name="標題 4" xfId="176"/>
    <cellStyle name="標題 4 2" xfId="177"/>
    <cellStyle name="標題 5" xfId="178"/>
    <cellStyle name="標準 2" xfId="179"/>
    <cellStyle name="標準 2 2" xfId="180"/>
    <cellStyle name="標準 7" xfId="181"/>
    <cellStyle name="標準_18-1恒温室_空調計算書　旭化成ケミカル" xfId="182"/>
    <cellStyle name="差 2" xfId="183"/>
    <cellStyle name="差 3" xfId="184"/>
    <cellStyle name="差_华灿光电4号综合楼" xfId="185"/>
    <cellStyle name="差_华灿光电4号综合楼 2" xfId="186"/>
    <cellStyle name="常规 10" xfId="187"/>
    <cellStyle name="常规 10 2" xfId="188"/>
    <cellStyle name="常规 10 2 2" xfId="189"/>
    <cellStyle name="常规 10 3" xfId="190"/>
    <cellStyle name="常规 10 3 2" xfId="191"/>
    <cellStyle name="常规 10 4" xfId="192"/>
    <cellStyle name="常规 10 5" xfId="193"/>
    <cellStyle name="常规 11" xfId="194"/>
    <cellStyle name="常规 11 2" xfId="195"/>
    <cellStyle name="常规 11 2 2" xfId="196"/>
    <cellStyle name="常规 11 3" xfId="197"/>
    <cellStyle name="常规 11 4" xfId="198"/>
    <cellStyle name="常规 12" xfId="199"/>
    <cellStyle name="常规 12 2" xfId="200"/>
    <cellStyle name="常规 12 2 2" xfId="201"/>
    <cellStyle name="常规 12 3" xfId="202"/>
    <cellStyle name="常规 12 4" xfId="203"/>
    <cellStyle name="常规 13" xfId="204"/>
    <cellStyle name="常规 13 2" xfId="205"/>
    <cellStyle name="常规 13 3" xfId="206"/>
    <cellStyle name="常规 14" xfId="207"/>
    <cellStyle name="常规 14 2" xfId="208"/>
    <cellStyle name="常规 14 3" xfId="209"/>
    <cellStyle name="常规 15" xfId="210"/>
    <cellStyle name="常规 16" xfId="211"/>
    <cellStyle name="常规 16 2" xfId="212"/>
    <cellStyle name="常规 17" xfId="213"/>
    <cellStyle name="常规 17 2" xfId="214"/>
    <cellStyle name="常规 17 3" xfId="215"/>
    <cellStyle name="常规 18" xfId="216"/>
    <cellStyle name="常规 18 2" xfId="217"/>
    <cellStyle name="常规 18 3" xfId="218"/>
    <cellStyle name="常规 19" xfId="219"/>
    <cellStyle name="常规 2" xfId="220"/>
    <cellStyle name="常规 2 2" xfId="221"/>
    <cellStyle name="常规 2 2 2" xfId="222"/>
    <cellStyle name="常规 2 2 2 2" xfId="223"/>
    <cellStyle name="常规 2 2 2 2 2" xfId="224"/>
    <cellStyle name="常规 2 2 2 3" xfId="225"/>
    <cellStyle name="常规 2 2 3" xfId="226"/>
    <cellStyle name="常规 2 2 3 2" xfId="227"/>
    <cellStyle name="常规 2 2 4" xfId="228"/>
    <cellStyle name="常规 2 2 4 2" xfId="229"/>
    <cellStyle name="常规 2 2 5" xfId="230"/>
    <cellStyle name="常规 2 2 6" xfId="231"/>
    <cellStyle name="常规 2 2 7" xfId="232"/>
    <cellStyle name="常规 2 3" xfId="233"/>
    <cellStyle name="常规 20" xfId="234"/>
    <cellStyle name="常规 3" xfId="235"/>
    <cellStyle name="常规 3 2" xfId="236"/>
    <cellStyle name="常规 3 2 2" xfId="237"/>
    <cellStyle name="常规 3 3" xfId="238"/>
    <cellStyle name="常规 3 4" xfId="239"/>
    <cellStyle name="常规 4" xfId="240"/>
    <cellStyle name="常规 4 15" xfId="241"/>
    <cellStyle name="常规 4 15 2" xfId="242"/>
    <cellStyle name="常规 4 2" xfId="243"/>
    <cellStyle name="常规 4 2 2" xfId="244"/>
    <cellStyle name="常规 4 3" xfId="245"/>
    <cellStyle name="常规 4 4" xfId="246"/>
    <cellStyle name="常规 4 5" xfId="247"/>
    <cellStyle name="常规 5" xfId="248"/>
    <cellStyle name="常规 5 2" xfId="249"/>
    <cellStyle name="常规 5 2 2" xfId="250"/>
    <cellStyle name="常规 5 3" xfId="251"/>
    <cellStyle name="常规 6" xfId="252"/>
    <cellStyle name="常规 6 2" xfId="253"/>
    <cellStyle name="常规 6 2 2" xfId="254"/>
    <cellStyle name="常规 6 3" xfId="255"/>
    <cellStyle name="常规 6 4" xfId="256"/>
    <cellStyle name="常规 6 5" xfId="257"/>
    <cellStyle name="常规 7" xfId="258"/>
    <cellStyle name="常规 7 2" xfId="259"/>
    <cellStyle name="常规 7 2 2" xfId="260"/>
    <cellStyle name="常规 7 2 6" xfId="261"/>
    <cellStyle name="常规 7 2 6 2" xfId="262"/>
    <cellStyle name="常规 7 3" xfId="263"/>
    <cellStyle name="常规 7 3 2" xfId="264"/>
    <cellStyle name="常规 7 3 2 2" xfId="265"/>
    <cellStyle name="常规 7 3 3" xfId="266"/>
    <cellStyle name="常规 7 4" xfId="267"/>
    <cellStyle name="常规 7 4 2" xfId="268"/>
    <cellStyle name="常规 7 5" xfId="269"/>
    <cellStyle name="常规 7 5 2" xfId="270"/>
    <cellStyle name="常规 7 6" xfId="271"/>
    <cellStyle name="常规 7 7" xfId="272"/>
    <cellStyle name="常规 8" xfId="273"/>
    <cellStyle name="常规 8 2" xfId="274"/>
    <cellStyle name="常规 9" xfId="275"/>
    <cellStyle name="常规 9 2" xfId="276"/>
    <cellStyle name="常规_空调通风计算书" xfId="277"/>
    <cellStyle name="常规_气象参数_住宅楼低温地板辐射采暖毕业设计2" xfId="278"/>
    <cellStyle name="超级链接_空调通风计算书" xfId="279"/>
    <cellStyle name="超链接 10" xfId="280"/>
    <cellStyle name="超链接 2" xfId="281"/>
    <cellStyle name="超链接 2 2" xfId="282"/>
    <cellStyle name="超链接 2 2 2" xfId="283"/>
    <cellStyle name="超链接 2 3" xfId="284"/>
    <cellStyle name="超链接 2 3 2" xfId="285"/>
    <cellStyle name="超链接 2 4" xfId="286"/>
    <cellStyle name="超链接 3" xfId="287"/>
    <cellStyle name="超链接 3 2" xfId="288"/>
    <cellStyle name="超链接 4" xfId="289"/>
    <cellStyle name="超链接 4 2" xfId="290"/>
    <cellStyle name="超链接 5" xfId="291"/>
    <cellStyle name="超链接 5 2" xfId="292"/>
    <cellStyle name="超链接 6" xfId="293"/>
    <cellStyle name="超链接 6 2" xfId="294"/>
    <cellStyle name="超链接 7" xfId="295"/>
    <cellStyle name="超链接 8" xfId="296"/>
    <cellStyle name="超链接 9" xfId="297"/>
    <cellStyle name="輔色1" xfId="298"/>
    <cellStyle name="輔色1 2" xfId="299"/>
    <cellStyle name="輔色1 2 2" xfId="300"/>
    <cellStyle name="輔色1 3" xfId="301"/>
    <cellStyle name="輔色2" xfId="302"/>
    <cellStyle name="輔色2 2" xfId="303"/>
    <cellStyle name="輔色2 2 2" xfId="304"/>
    <cellStyle name="輔色2 3" xfId="305"/>
    <cellStyle name="輔色3" xfId="306"/>
    <cellStyle name="輔色3 2" xfId="307"/>
    <cellStyle name="輔色3 2 2" xfId="308"/>
    <cellStyle name="輔色3 3" xfId="309"/>
    <cellStyle name="輔色4" xfId="310"/>
    <cellStyle name="輔色4 2" xfId="311"/>
    <cellStyle name="輔色4 2 2" xfId="312"/>
    <cellStyle name="輔色4 3" xfId="313"/>
    <cellStyle name="輔色5" xfId="314"/>
    <cellStyle name="輔色5 2" xfId="315"/>
    <cellStyle name="輔色5 2 2" xfId="316"/>
    <cellStyle name="輔色5 3" xfId="317"/>
    <cellStyle name="輔色6" xfId="318"/>
    <cellStyle name="輔色6 2" xfId="319"/>
    <cellStyle name="輔色6 2 2" xfId="320"/>
    <cellStyle name="輔色6 3" xfId="321"/>
    <cellStyle name="好 2" xfId="322"/>
    <cellStyle name="好_华灿光电4号综合楼" xfId="323"/>
    <cellStyle name="好_华灿光电4号综合楼 2" xfId="324"/>
    <cellStyle name="合計" xfId="325"/>
    <cellStyle name="合計 2" xfId="326"/>
    <cellStyle name="后继超级链接_空调通风计算书" xfId="327"/>
    <cellStyle name="壞" xfId="328"/>
    <cellStyle name="壞 2" xfId="329"/>
    <cellStyle name="壞 2 2" xfId="330"/>
    <cellStyle name="壞 3" xfId="331"/>
    <cellStyle name="汇总 2" xfId="332"/>
    <cellStyle name="货币 2" xfId="333"/>
    <cellStyle name="计算 2" xfId="334"/>
    <cellStyle name="計算方式" xfId="335"/>
    <cellStyle name="計算方式 2" xfId="336"/>
    <cellStyle name="計算方式 2 2" xfId="337"/>
    <cellStyle name="計算方式 3" xfId="338"/>
    <cellStyle name="检查单元格 2" xfId="339"/>
    <cellStyle name="檢查儲存格" xfId="340"/>
    <cellStyle name="檢查儲存格 2" xfId="341"/>
    <cellStyle name="檢查儲存格 2 2" xfId="342"/>
    <cellStyle name="檢查儲存格 3" xfId="343"/>
    <cellStyle name="解释性文本 2" xfId="344"/>
    <cellStyle name="警告文本 2" xfId="345"/>
    <cellStyle name="警告文字" xfId="346"/>
    <cellStyle name="警告文字 2" xfId="347"/>
    <cellStyle name="連結的儲存格" xfId="348"/>
    <cellStyle name="連結的儲存格 2" xfId="349"/>
    <cellStyle name="链接单元格 2" xfId="350"/>
    <cellStyle name="普通_1-LTG" xfId="351"/>
    <cellStyle name="千分位[0]_1-LTG" xfId="352"/>
    <cellStyle name="千分位_1-LTG" xfId="353"/>
    <cellStyle name="千位分隔 2" xfId="354"/>
    <cellStyle name="千位分隔 2 2" xfId="355"/>
    <cellStyle name="千位分隔[0] 2" xfId="356"/>
    <cellStyle name="千位分隔[0] 2 2" xfId="357"/>
    <cellStyle name="千位分隔[0] 2 2 2" xfId="358"/>
    <cellStyle name="千位分隔[0] 2 3" xfId="359"/>
    <cellStyle name="千位分隔[0] 2 4" xfId="360"/>
    <cellStyle name="千位分隔[0] 2 5" xfId="361"/>
    <cellStyle name="千位分隔[0] 3" xfId="362"/>
    <cellStyle name="千位分隔[0] 3 2" xfId="363"/>
    <cellStyle name="千位分隔[0] 3 3" xfId="364"/>
    <cellStyle name="强调文字颜色 2 2" xfId="365"/>
    <cellStyle name="强调文字颜色 4 2" xfId="366"/>
    <cellStyle name="适中 2" xfId="367"/>
    <cellStyle name="输出 2" xfId="368"/>
    <cellStyle name="输入 2" xfId="369"/>
    <cellStyle name="输入 3" xfId="370"/>
    <cellStyle name="輸出" xfId="371"/>
    <cellStyle name="輸出 2" xfId="372"/>
    <cellStyle name="輸出 2 2" xfId="373"/>
    <cellStyle name="輸出 3" xfId="374"/>
    <cellStyle name="輸入" xfId="375"/>
    <cellStyle name="輸入 2" xfId="376"/>
    <cellStyle name="輸入 2 2" xfId="377"/>
    <cellStyle name="輸入 3" xfId="378"/>
    <cellStyle name="說明文字" xfId="379"/>
    <cellStyle name="說明文字 2" xfId="380"/>
    <cellStyle name="未定義" xfId="381"/>
    <cellStyle name="未定義 2" xfId="382"/>
    <cellStyle name="未定義 2 2" xfId="383"/>
    <cellStyle name="未定義 3" xfId="384"/>
    <cellStyle name="未定義 4" xfId="385"/>
    <cellStyle name="样式 1" xfId="386"/>
    <cellStyle name="一般 2" xfId="387"/>
    <cellStyle name="一般 2 2" xfId="388"/>
    <cellStyle name="一般_additional equipment" xfId="389"/>
    <cellStyle name="中等" xfId="390"/>
    <cellStyle name="中等 2" xfId="391"/>
    <cellStyle name="中等 2 2" xfId="392"/>
    <cellStyle name="中等 3" xfId="393"/>
    <cellStyle name="注释 2" xfId="39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8\Projects\7F-1\03%20BCR\BCR-1005&#12288;&#19977;&#33777;&#21270;&#23398;&#23433;&#31185;&#30740;&#31532;2&#30740;&#31350;&#26847;1&#12289;2F&#25913;&#36896;\My%20Documents\&#20809;&#35069;&#34220;\&#22865;&#32004;&#35211;&#31309;4.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kik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8\Projects\7F-1\04%20PAC\PAS-1001&#65422;&#65437;&#65408;&#65438;&#26627;&#26408;&#65398;-&#65396;&#65393;&#65402;&#65437;&#65403;&#65394;&#65400;&#65433;&#65421;&#65438;&#65437;&#65409;\&#29289;&#20214;\&#65418;&#65438;&#65437;&#65408;&#65438;&#65394;\&#65418;&#65438;&#65437;&#65408;&#65438;&#65394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8\Projects\7F-1\04%20PAC\PAS-1001&#65422;&#65437;&#65408;&#65438;&#26627;&#26408;&#65398;-&#65396;&#65393;&#65402;&#65437;&#65403;&#65394;&#65400;&#65433;&#65421;&#65438;&#65437;&#65409;\IH&#20181;&#27096;&#2636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見積表紙"/>
      <sheetName val="見積項目"/>
      <sheetName val="概算見積もり"/>
      <sheetName val="備考1"/>
      <sheetName val="備考2"/>
      <sheetName val="仕様書"/>
      <sheetName val="機器表"/>
      <sheetName val="設計条件表 "/>
      <sheetName val="水冷P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換気表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衛生"/>
      <sheetName val="比較"/>
      <sheetName val="換気表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ＩＨＩ"/>
      <sheetName val="98.1.7修正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07"/>
  <sheetViews>
    <sheetView zoomScale="85" zoomScaleNormal="85" workbookViewId="0">
      <pane ySplit="4" topLeftCell="A71" activePane="bottomLeft" state="frozenSplit"/>
      <selection/>
      <selection pane="bottomLeft" activeCell="B77" sqref="A73:IV81"/>
    </sheetView>
  </sheetViews>
  <sheetFormatPr defaultColWidth="10.0666666666667" defaultRowHeight="40.05" customHeight="1"/>
  <cols>
    <col min="1" max="1" width="7.25" style="311" customWidth="1"/>
    <col min="2" max="2" width="6.31666666666667" style="312" customWidth="1"/>
    <col min="3" max="3" width="7.31666666666667" style="311" customWidth="1"/>
    <col min="4" max="4" width="9.81666666666667" style="311" customWidth="1"/>
    <col min="5" max="5" width="7.31666666666667" style="311" customWidth="1"/>
    <col min="6" max="6" width="8.31666666666667" style="311" customWidth="1"/>
    <col min="7" max="7" width="6.81666666666667" style="311" customWidth="1"/>
    <col min="8" max="8" width="8.81666666666667" style="311" customWidth="1"/>
    <col min="9" max="9" width="7.31666666666667" style="311" customWidth="1"/>
    <col min="10" max="12" width="6.06666666666667" style="311" customWidth="1"/>
    <col min="13" max="14" width="9" style="311" customWidth="1"/>
    <col min="15" max="15" width="10.3166666666667" style="311" customWidth="1"/>
    <col min="16" max="17" width="7.06666666666667" style="311" customWidth="1"/>
    <col min="18" max="18" width="10" style="311" customWidth="1"/>
    <col min="19" max="19" width="7.06666666666667" style="311" customWidth="1"/>
    <col min="20" max="20" width="9.56666666666667" style="311" customWidth="1"/>
    <col min="21" max="21" width="6.81666666666667" style="311" customWidth="1"/>
    <col min="22" max="22" width="10.3166666666667" style="311" customWidth="1"/>
    <col min="23" max="27" width="6.81666666666667" style="311" customWidth="1"/>
    <col min="28" max="28" width="7" style="311" customWidth="1"/>
    <col min="29" max="29" width="7.25" style="311" customWidth="1"/>
    <col min="30" max="31" width="8.75" style="311" customWidth="1"/>
    <col min="32" max="32" width="10" style="311" customWidth="1"/>
    <col min="33" max="35" width="9.25" style="311" customWidth="1"/>
    <col min="36" max="36" width="5.75" style="311" customWidth="1"/>
    <col min="37" max="37" width="10.5" style="311" customWidth="1"/>
    <col min="38" max="38" width="11.3166666666667" style="311" customWidth="1"/>
    <col min="39" max="39" width="7.5" style="311" customWidth="1"/>
    <col min="40" max="40" width="7.56666666666667" style="311" customWidth="1"/>
    <col min="41" max="16384" width="10.0666666666667" style="311"/>
  </cols>
  <sheetData>
    <row r="1" s="287" customFormat="1" customHeight="1" spans="1:40">
      <c r="A1" s="313" t="s">
        <v>0</v>
      </c>
      <c r="B1" s="314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</row>
    <row r="2" customHeight="1" spans="1:40">
      <c r="A2" s="315" t="s">
        <v>1</v>
      </c>
      <c r="B2" s="316" t="s">
        <v>2</v>
      </c>
      <c r="C2" s="317"/>
      <c r="D2" s="318" t="s">
        <v>3</v>
      </c>
      <c r="E2" s="319" t="s">
        <v>4</v>
      </c>
      <c r="F2" s="320"/>
      <c r="G2" s="321"/>
      <c r="H2" s="322" t="s">
        <v>5</v>
      </c>
      <c r="I2" s="323" t="s">
        <v>6</v>
      </c>
      <c r="J2" s="319" t="s">
        <v>7</v>
      </c>
      <c r="K2" s="320"/>
      <c r="L2" s="320"/>
      <c r="M2" s="320"/>
      <c r="N2" s="320"/>
      <c r="O2" s="320"/>
      <c r="P2" s="320"/>
      <c r="Q2" s="320"/>
      <c r="R2" s="321"/>
      <c r="S2" s="319" t="s">
        <v>8</v>
      </c>
      <c r="T2" s="320"/>
      <c r="U2" s="320"/>
      <c r="V2" s="320"/>
      <c r="W2" s="320"/>
      <c r="X2" s="320"/>
      <c r="Y2" s="320"/>
      <c r="Z2" s="320"/>
      <c r="AA2" s="320"/>
      <c r="AB2" s="321"/>
      <c r="AC2" s="322" t="s">
        <v>9</v>
      </c>
      <c r="AD2" s="322" t="s">
        <v>10</v>
      </c>
      <c r="AE2" s="324" t="s">
        <v>11</v>
      </c>
      <c r="AF2" s="325"/>
      <c r="AG2" s="326" t="s">
        <v>12</v>
      </c>
      <c r="AH2" s="320"/>
      <c r="AI2" s="320"/>
      <c r="AJ2" s="327"/>
      <c r="AK2" s="327"/>
      <c r="AL2" s="328"/>
      <c r="AM2" s="323" t="s">
        <v>13</v>
      </c>
      <c r="AN2" s="323" t="s">
        <v>14</v>
      </c>
    </row>
    <row r="3" ht="30" customHeight="1" spans="1:40">
      <c r="A3" s="329"/>
      <c r="B3" s="330"/>
      <c r="C3" s="331"/>
      <c r="D3" s="332"/>
      <c r="E3" s="333" t="s">
        <v>15</v>
      </c>
      <c r="F3" s="333" t="s">
        <v>16</v>
      </c>
      <c r="G3" s="333" t="s">
        <v>17</v>
      </c>
      <c r="H3" s="334"/>
      <c r="I3" s="335"/>
      <c r="J3" s="336" t="s">
        <v>18</v>
      </c>
      <c r="K3" s="337"/>
      <c r="L3" s="337"/>
      <c r="M3" s="338"/>
      <c r="N3" s="336" t="s">
        <v>19</v>
      </c>
      <c r="O3" s="337"/>
      <c r="P3" s="337"/>
      <c r="Q3" s="337"/>
      <c r="R3" s="338"/>
      <c r="S3" s="336" t="s">
        <v>20</v>
      </c>
      <c r="T3" s="339"/>
      <c r="U3" s="339"/>
      <c r="V3" s="340"/>
      <c r="W3" s="336" t="s">
        <v>18</v>
      </c>
      <c r="X3" s="339"/>
      <c r="Y3" s="339"/>
      <c r="Z3" s="340"/>
      <c r="AA3" s="341" t="s">
        <v>21</v>
      </c>
      <c r="AB3" s="342" t="s">
        <v>22</v>
      </c>
      <c r="AC3" s="343"/>
      <c r="AD3" s="343"/>
      <c r="AE3" s="342" t="s">
        <v>23</v>
      </c>
      <c r="AF3" s="342" t="s">
        <v>19</v>
      </c>
      <c r="AG3" s="342" t="s">
        <v>24</v>
      </c>
      <c r="AH3" s="344" t="s">
        <v>25</v>
      </c>
      <c r="AI3" s="342" t="s">
        <v>26</v>
      </c>
      <c r="AJ3" s="342" t="s">
        <v>27</v>
      </c>
      <c r="AK3" s="342" t="s">
        <v>28</v>
      </c>
      <c r="AL3" s="342" t="s">
        <v>29</v>
      </c>
      <c r="AM3" s="334"/>
      <c r="AN3" s="335"/>
    </row>
    <row r="4" ht="60.75" customHeight="1" spans="1:40">
      <c r="A4" s="345"/>
      <c r="B4" s="346"/>
      <c r="C4" s="347"/>
      <c r="D4" s="348"/>
      <c r="E4" s="349"/>
      <c r="F4" s="349"/>
      <c r="G4" s="349"/>
      <c r="H4" s="349"/>
      <c r="I4" s="350"/>
      <c r="J4" s="351" t="s">
        <v>30</v>
      </c>
      <c r="K4" s="351" t="s">
        <v>31</v>
      </c>
      <c r="L4" s="351" t="s">
        <v>32</v>
      </c>
      <c r="M4" s="351" t="s">
        <v>33</v>
      </c>
      <c r="N4" s="351" t="s">
        <v>34</v>
      </c>
      <c r="O4" s="351" t="s">
        <v>35</v>
      </c>
      <c r="P4" s="351" t="s">
        <v>36</v>
      </c>
      <c r="Q4" s="351" t="s">
        <v>37</v>
      </c>
      <c r="R4" s="351" t="s">
        <v>38</v>
      </c>
      <c r="S4" s="352" t="s">
        <v>39</v>
      </c>
      <c r="T4" s="353" t="s">
        <v>40</v>
      </c>
      <c r="U4" s="353" t="s">
        <v>41</v>
      </c>
      <c r="V4" s="353" t="s">
        <v>42</v>
      </c>
      <c r="W4" s="353" t="s">
        <v>39</v>
      </c>
      <c r="X4" s="353" t="s">
        <v>40</v>
      </c>
      <c r="Y4" s="353" t="s">
        <v>41</v>
      </c>
      <c r="Z4" s="353" t="s">
        <v>42</v>
      </c>
      <c r="AA4" s="354"/>
      <c r="AB4" s="353"/>
      <c r="AC4" s="352"/>
      <c r="AD4" s="352"/>
      <c r="AE4" s="353"/>
      <c r="AF4" s="353"/>
      <c r="AG4" s="353"/>
      <c r="AH4" s="325"/>
      <c r="AI4" s="353"/>
      <c r="AJ4" s="353"/>
      <c r="AK4" s="353"/>
      <c r="AL4" s="353"/>
      <c r="AM4" s="349"/>
      <c r="AN4" s="350"/>
    </row>
    <row r="5" s="288" customFormat="1" ht="20.2" customHeight="1" spans="1:40">
      <c r="A5" s="355" t="s">
        <v>43</v>
      </c>
      <c r="B5" s="356">
        <v>1</v>
      </c>
      <c r="C5" s="357" t="s">
        <v>43</v>
      </c>
      <c r="D5" s="358" t="s">
        <v>44</v>
      </c>
      <c r="E5" s="358" t="s">
        <v>45</v>
      </c>
      <c r="F5" s="358" t="s">
        <v>46</v>
      </c>
      <c r="G5" s="358">
        <v>31.3</v>
      </c>
      <c r="H5" s="358" t="s">
        <v>47</v>
      </c>
      <c r="I5" s="358">
        <v>12.3</v>
      </c>
      <c r="J5" s="358">
        <v>-7.6</v>
      </c>
      <c r="K5" s="358">
        <v>-3.6</v>
      </c>
      <c r="L5" s="358">
        <v>-9.9</v>
      </c>
      <c r="M5" s="358">
        <v>44</v>
      </c>
      <c r="N5" s="358">
        <v>33.5</v>
      </c>
      <c r="O5" s="358">
        <v>26.4</v>
      </c>
      <c r="P5" s="358">
        <v>29.7</v>
      </c>
      <c r="Q5" s="358">
        <v>61</v>
      </c>
      <c r="R5" s="358">
        <v>29.6</v>
      </c>
      <c r="S5" s="358">
        <v>2.1</v>
      </c>
      <c r="T5" s="358" t="s">
        <v>48</v>
      </c>
      <c r="U5" s="358" t="s">
        <v>49</v>
      </c>
      <c r="V5" s="358">
        <v>3</v>
      </c>
      <c r="W5" s="358">
        <v>2.6</v>
      </c>
      <c r="X5" s="358" t="s">
        <v>50</v>
      </c>
      <c r="Y5" s="358" t="s">
        <v>51</v>
      </c>
      <c r="Z5" s="358">
        <v>4.7</v>
      </c>
      <c r="AA5" s="358" t="s">
        <v>52</v>
      </c>
      <c r="AB5" s="358" t="s">
        <v>53</v>
      </c>
      <c r="AC5" s="358">
        <v>64</v>
      </c>
      <c r="AD5" s="358">
        <v>66</v>
      </c>
      <c r="AE5" s="358">
        <v>1021.7</v>
      </c>
      <c r="AF5" s="358">
        <v>1000.2</v>
      </c>
      <c r="AG5" s="358">
        <v>123</v>
      </c>
      <c r="AH5" s="358" t="s">
        <v>54</v>
      </c>
      <c r="AI5" s="358">
        <v>-0.7</v>
      </c>
      <c r="AJ5" s="358">
        <v>144</v>
      </c>
      <c r="AK5" s="358" t="s">
        <v>55</v>
      </c>
      <c r="AL5" s="358">
        <v>0.3</v>
      </c>
      <c r="AM5" s="358">
        <v>41.9</v>
      </c>
      <c r="AN5" s="359">
        <v>-18.3</v>
      </c>
    </row>
    <row r="6" s="289" customFormat="1" ht="20.2" customHeight="1" spans="1:40">
      <c r="A6" s="360" t="s">
        <v>56</v>
      </c>
      <c r="B6" s="255">
        <v>1</v>
      </c>
      <c r="C6" s="253" t="s">
        <v>56</v>
      </c>
      <c r="D6" s="255" t="s">
        <v>57</v>
      </c>
      <c r="E6" s="361" t="s">
        <v>58</v>
      </c>
      <c r="F6" s="361" t="s">
        <v>59</v>
      </c>
      <c r="G6" s="361">
        <v>2.5</v>
      </c>
      <c r="H6" s="361" t="s">
        <v>47</v>
      </c>
      <c r="I6" s="361">
        <v>12.7</v>
      </c>
      <c r="J6" s="361">
        <v>-7</v>
      </c>
      <c r="K6" s="361">
        <v>-3.5</v>
      </c>
      <c r="L6" s="361">
        <v>-9.6</v>
      </c>
      <c r="M6" s="361">
        <v>56</v>
      </c>
      <c r="N6" s="361">
        <v>33.9</v>
      </c>
      <c r="O6" s="361">
        <v>26.8</v>
      </c>
      <c r="P6" s="361">
        <v>29.8</v>
      </c>
      <c r="Q6" s="361">
        <v>63</v>
      </c>
      <c r="R6" s="361">
        <v>29.4</v>
      </c>
      <c r="S6" s="361">
        <v>2.2</v>
      </c>
      <c r="T6" s="361" t="s">
        <v>60</v>
      </c>
      <c r="U6" s="361" t="s">
        <v>61</v>
      </c>
      <c r="V6" s="361">
        <v>2.4</v>
      </c>
      <c r="W6" s="361">
        <v>2.4</v>
      </c>
      <c r="X6" s="361" t="s">
        <v>50</v>
      </c>
      <c r="Y6" s="361" t="s">
        <v>62</v>
      </c>
      <c r="Z6" s="361">
        <v>4.8</v>
      </c>
      <c r="AA6" s="361" t="s">
        <v>52</v>
      </c>
      <c r="AB6" s="361" t="s">
        <v>63</v>
      </c>
      <c r="AC6" s="361">
        <v>58</v>
      </c>
      <c r="AD6" s="361">
        <v>58</v>
      </c>
      <c r="AE6" s="361">
        <v>1027.1</v>
      </c>
      <c r="AF6" s="361">
        <v>1005.2</v>
      </c>
      <c r="AG6" s="361">
        <v>121</v>
      </c>
      <c r="AH6" s="361" t="s">
        <v>64</v>
      </c>
      <c r="AI6" s="361">
        <v>-0.6</v>
      </c>
      <c r="AJ6" s="361">
        <v>142</v>
      </c>
      <c r="AK6" s="361" t="s">
        <v>65</v>
      </c>
      <c r="AL6" s="361">
        <v>0.4</v>
      </c>
      <c r="AM6" s="361">
        <v>40.5</v>
      </c>
      <c r="AN6" s="362">
        <v>-17.8</v>
      </c>
    </row>
    <row r="7" s="290" customFormat="1" ht="20.2" customHeight="1" spans="1:40">
      <c r="A7" s="363"/>
      <c r="B7" s="364">
        <v>2</v>
      </c>
      <c r="C7" s="253" t="s">
        <v>66</v>
      </c>
      <c r="D7" s="255" t="s">
        <v>67</v>
      </c>
      <c r="E7" s="365" t="s">
        <v>68</v>
      </c>
      <c r="F7" s="365" t="s">
        <v>69</v>
      </c>
      <c r="G7" s="365">
        <v>2.7</v>
      </c>
      <c r="H7" s="365" t="s">
        <v>47</v>
      </c>
      <c r="I7" s="366">
        <v>12.6</v>
      </c>
      <c r="J7" s="365">
        <v>-6.8</v>
      </c>
      <c r="K7" s="365">
        <v>-3.3</v>
      </c>
      <c r="L7" s="365">
        <v>-9.2</v>
      </c>
      <c r="M7" s="365">
        <v>59</v>
      </c>
      <c r="N7" s="365">
        <v>32.5</v>
      </c>
      <c r="O7" s="365">
        <v>26.9</v>
      </c>
      <c r="P7" s="365">
        <v>28.8</v>
      </c>
      <c r="Q7" s="365">
        <v>68</v>
      </c>
      <c r="R7" s="365">
        <v>29.6</v>
      </c>
      <c r="S7" s="365">
        <v>4.2</v>
      </c>
      <c r="T7" s="365" t="s">
        <v>70</v>
      </c>
      <c r="U7" s="365">
        <v>12</v>
      </c>
      <c r="V7" s="365">
        <v>4.3</v>
      </c>
      <c r="W7" s="365">
        <v>3.9</v>
      </c>
      <c r="X7" s="365" t="s">
        <v>71</v>
      </c>
      <c r="Y7" s="365">
        <v>13</v>
      </c>
      <c r="Z7" s="365">
        <v>5.8</v>
      </c>
      <c r="AA7" s="365" t="s">
        <v>71</v>
      </c>
      <c r="AB7" s="365">
        <v>8</v>
      </c>
      <c r="AC7" s="365">
        <v>63</v>
      </c>
      <c r="AD7" s="365">
        <v>59</v>
      </c>
      <c r="AE7" s="365">
        <v>1026.3</v>
      </c>
      <c r="AF7" s="365">
        <v>1004.6</v>
      </c>
      <c r="AG7" s="365">
        <v>122</v>
      </c>
      <c r="AH7" s="365" t="s">
        <v>72</v>
      </c>
      <c r="AI7" s="365">
        <v>-0.4</v>
      </c>
      <c r="AJ7" s="365">
        <v>143</v>
      </c>
      <c r="AK7" s="365" t="s">
        <v>73</v>
      </c>
      <c r="AL7" s="365">
        <v>0.6</v>
      </c>
      <c r="AM7" s="365">
        <v>40.9</v>
      </c>
      <c r="AN7" s="367">
        <v>-15.4</v>
      </c>
    </row>
    <row r="8" s="291" customFormat="1" ht="20.2" customHeight="1" spans="1:40">
      <c r="A8" s="368" t="s">
        <v>74</v>
      </c>
      <c r="B8" s="369">
        <v>1</v>
      </c>
      <c r="C8" s="370" t="s">
        <v>75</v>
      </c>
      <c r="D8" s="369" t="s">
        <v>76</v>
      </c>
      <c r="E8" s="369" t="s">
        <v>77</v>
      </c>
      <c r="F8" s="369" t="s">
        <v>78</v>
      </c>
      <c r="G8" s="369">
        <v>81</v>
      </c>
      <c r="H8" s="369" t="s">
        <v>47</v>
      </c>
      <c r="I8" s="369">
        <v>13.4</v>
      </c>
      <c r="J8" s="369">
        <v>-6.2</v>
      </c>
      <c r="K8" s="369">
        <v>-2.3</v>
      </c>
      <c r="L8" s="369">
        <v>-8.8</v>
      </c>
      <c r="M8" s="369">
        <v>55</v>
      </c>
      <c r="N8" s="369">
        <v>35.1</v>
      </c>
      <c r="O8" s="369">
        <v>26.8</v>
      </c>
      <c r="P8" s="369">
        <v>30.8</v>
      </c>
      <c r="Q8" s="369">
        <v>60</v>
      </c>
      <c r="R8" s="369">
        <v>30</v>
      </c>
      <c r="S8" s="369">
        <v>1.7</v>
      </c>
      <c r="T8" s="369" t="s">
        <v>60</v>
      </c>
      <c r="U8" s="369" t="s">
        <v>79</v>
      </c>
      <c r="V8" s="369">
        <v>2.6</v>
      </c>
      <c r="W8" s="369">
        <v>1.8</v>
      </c>
      <c r="X8" s="369" t="s">
        <v>80</v>
      </c>
      <c r="Y8" s="369" t="s">
        <v>81</v>
      </c>
      <c r="Z8" s="369">
        <v>2</v>
      </c>
      <c r="AA8" s="369" t="s">
        <v>82</v>
      </c>
      <c r="AB8" s="369" t="s">
        <v>83</v>
      </c>
      <c r="AC8" s="369">
        <v>56</v>
      </c>
      <c r="AD8" s="369">
        <v>56</v>
      </c>
      <c r="AE8" s="369">
        <v>1017.2</v>
      </c>
      <c r="AF8" s="369">
        <v>995.8</v>
      </c>
      <c r="AG8" s="369">
        <v>111</v>
      </c>
      <c r="AH8" s="369" t="s">
        <v>84</v>
      </c>
      <c r="AI8" s="369">
        <v>0.1</v>
      </c>
      <c r="AJ8" s="369">
        <v>140</v>
      </c>
      <c r="AK8" s="369" t="s">
        <v>85</v>
      </c>
      <c r="AL8" s="369">
        <v>1.5</v>
      </c>
      <c r="AM8" s="369">
        <v>41.5</v>
      </c>
      <c r="AN8" s="371">
        <v>-19.3</v>
      </c>
    </row>
    <row r="9" s="292" customFormat="1" ht="20.2" customHeight="1" spans="1:40">
      <c r="A9" s="372"/>
      <c r="B9" s="361">
        <v>2</v>
      </c>
      <c r="C9" s="357" t="s">
        <v>86</v>
      </c>
      <c r="D9" s="358" t="s">
        <v>87</v>
      </c>
      <c r="E9" s="373" t="s">
        <v>88</v>
      </c>
      <c r="F9" s="373" t="s">
        <v>89</v>
      </c>
      <c r="G9" s="373">
        <v>27.8</v>
      </c>
      <c r="H9" s="373" t="s">
        <v>47</v>
      </c>
      <c r="I9" s="373">
        <v>11.5</v>
      </c>
      <c r="J9" s="373">
        <v>-9.2</v>
      </c>
      <c r="K9" s="373">
        <v>-5.1</v>
      </c>
      <c r="L9" s="373">
        <v>-11.6</v>
      </c>
      <c r="M9" s="373">
        <v>55</v>
      </c>
      <c r="N9" s="373">
        <v>32.9</v>
      </c>
      <c r="O9" s="373">
        <v>26.3</v>
      </c>
      <c r="P9" s="373">
        <v>29.2</v>
      </c>
      <c r="Q9" s="373">
        <v>63</v>
      </c>
      <c r="R9" s="373">
        <v>28.5</v>
      </c>
      <c r="S9" s="373">
        <v>2.3</v>
      </c>
      <c r="T9" s="373" t="s">
        <v>90</v>
      </c>
      <c r="U9" s="373" t="s">
        <v>91</v>
      </c>
      <c r="V9" s="373">
        <v>2.8</v>
      </c>
      <c r="W9" s="373">
        <v>2.2</v>
      </c>
      <c r="X9" s="373" t="s">
        <v>92</v>
      </c>
      <c r="Y9" s="373" t="s">
        <v>93</v>
      </c>
      <c r="Z9" s="373">
        <v>2.9</v>
      </c>
      <c r="AA9" s="373" t="s">
        <v>90</v>
      </c>
      <c r="AB9" s="373" t="s">
        <v>94</v>
      </c>
      <c r="AC9" s="373">
        <v>60</v>
      </c>
      <c r="AD9" s="373">
        <v>72</v>
      </c>
      <c r="AE9" s="373">
        <v>1023.6</v>
      </c>
      <c r="AF9" s="373">
        <v>1002.4</v>
      </c>
      <c r="AG9" s="373">
        <v>130</v>
      </c>
      <c r="AH9" s="373" t="s">
        <v>95</v>
      </c>
      <c r="AI9" s="373">
        <v>-1.6</v>
      </c>
      <c r="AJ9" s="373">
        <v>146</v>
      </c>
      <c r="AK9" s="373" t="s">
        <v>96</v>
      </c>
      <c r="AL9" s="373">
        <v>-0.7</v>
      </c>
      <c r="AM9" s="373">
        <v>39.6</v>
      </c>
      <c r="AN9" s="374">
        <v>-22.7</v>
      </c>
    </row>
    <row r="10" s="292" customFormat="1" ht="20.2" customHeight="1" spans="1:40">
      <c r="A10" s="372"/>
      <c r="B10" s="361">
        <v>3</v>
      </c>
      <c r="C10" s="357" t="s">
        <v>97</v>
      </c>
      <c r="D10" s="358" t="s">
        <v>98</v>
      </c>
      <c r="E10" s="373" t="s">
        <v>99</v>
      </c>
      <c r="F10" s="373" t="s">
        <v>100</v>
      </c>
      <c r="G10" s="373">
        <v>76.8</v>
      </c>
      <c r="H10" s="373" t="s">
        <v>47</v>
      </c>
      <c r="I10" s="373">
        <v>13.9</v>
      </c>
      <c r="J10" s="373">
        <v>-5.5</v>
      </c>
      <c r="K10" s="373">
        <v>-1.6</v>
      </c>
      <c r="L10" s="373">
        <v>-8</v>
      </c>
      <c r="M10" s="373">
        <v>57</v>
      </c>
      <c r="N10" s="373">
        <v>35.1</v>
      </c>
      <c r="O10" s="373">
        <v>26.9</v>
      </c>
      <c r="P10" s="373">
        <v>31</v>
      </c>
      <c r="Q10" s="373">
        <v>61</v>
      </c>
      <c r="R10" s="373">
        <v>30.2</v>
      </c>
      <c r="S10" s="373">
        <v>1.7</v>
      </c>
      <c r="T10" s="373" t="s">
        <v>101</v>
      </c>
      <c r="U10" s="373" t="s">
        <v>102</v>
      </c>
      <c r="V10" s="373">
        <v>2.3</v>
      </c>
      <c r="W10" s="373">
        <v>1.4</v>
      </c>
      <c r="X10" s="373" t="s">
        <v>80</v>
      </c>
      <c r="Y10" s="373" t="s">
        <v>103</v>
      </c>
      <c r="Z10" s="373">
        <v>2</v>
      </c>
      <c r="AA10" s="373" t="s">
        <v>104</v>
      </c>
      <c r="AB10" s="373" t="s">
        <v>105</v>
      </c>
      <c r="AC10" s="373">
        <v>56</v>
      </c>
      <c r="AD10" s="373">
        <v>46</v>
      </c>
      <c r="AE10" s="373">
        <v>1017.7</v>
      </c>
      <c r="AF10" s="373">
        <v>996.2</v>
      </c>
      <c r="AG10" s="373">
        <v>105</v>
      </c>
      <c r="AH10" s="373" t="s">
        <v>106</v>
      </c>
      <c r="AI10" s="373">
        <v>0.5</v>
      </c>
      <c r="AJ10" s="373">
        <v>129</v>
      </c>
      <c r="AK10" s="373" t="s">
        <v>107</v>
      </c>
      <c r="AL10" s="373">
        <v>1.8</v>
      </c>
      <c r="AM10" s="373">
        <v>41.1</v>
      </c>
      <c r="AN10" s="374">
        <v>-20.2</v>
      </c>
    </row>
    <row r="11" s="292" customFormat="1" ht="20.2" customHeight="1" spans="1:40">
      <c r="A11" s="372"/>
      <c r="B11" s="361">
        <v>4</v>
      </c>
      <c r="C11" s="357" t="s">
        <v>108</v>
      </c>
      <c r="D11" s="358" t="s">
        <v>109</v>
      </c>
      <c r="E11" s="373" t="s">
        <v>110</v>
      </c>
      <c r="F11" s="373" t="s">
        <v>111</v>
      </c>
      <c r="G11" s="373">
        <v>17.2</v>
      </c>
      <c r="H11" s="373" t="s">
        <v>47</v>
      </c>
      <c r="I11" s="373">
        <v>12.9</v>
      </c>
      <c r="J11" s="373">
        <v>-7</v>
      </c>
      <c r="K11" s="373">
        <v>-3.2</v>
      </c>
      <c r="L11" s="373">
        <v>-9.5</v>
      </c>
      <c r="M11" s="373">
        <v>55</v>
      </c>
      <c r="N11" s="373">
        <v>34.8</v>
      </c>
      <c r="O11" s="373">
        <v>26.6</v>
      </c>
      <c r="P11" s="373">
        <v>30.4</v>
      </c>
      <c r="Q11" s="373">
        <v>61</v>
      </c>
      <c r="R11" s="373">
        <v>29.8</v>
      </c>
      <c r="S11" s="373">
        <v>2</v>
      </c>
      <c r="T11" s="373" t="s">
        <v>48</v>
      </c>
      <c r="U11" s="373" t="s">
        <v>112</v>
      </c>
      <c r="V11" s="373">
        <v>2.5</v>
      </c>
      <c r="W11" s="373">
        <v>1.8</v>
      </c>
      <c r="X11" s="373" t="s">
        <v>48</v>
      </c>
      <c r="Y11" s="373" t="s">
        <v>113</v>
      </c>
      <c r="Z11" s="373">
        <v>2.3</v>
      </c>
      <c r="AA11" s="373" t="s">
        <v>48</v>
      </c>
      <c r="AB11" s="373" t="s">
        <v>114</v>
      </c>
      <c r="AC11" s="373">
        <v>56</v>
      </c>
      <c r="AD11" s="373">
        <v>58</v>
      </c>
      <c r="AE11" s="373">
        <v>1025.1</v>
      </c>
      <c r="AF11" s="373">
        <v>1002.9</v>
      </c>
      <c r="AG11" s="373">
        <v>119</v>
      </c>
      <c r="AH11" s="373" t="s">
        <v>115</v>
      </c>
      <c r="AI11" s="373">
        <v>-0.5</v>
      </c>
      <c r="AJ11" s="373">
        <v>142</v>
      </c>
      <c r="AK11" s="373" t="s">
        <v>116</v>
      </c>
      <c r="AL11" s="373">
        <v>0.7</v>
      </c>
      <c r="AM11" s="373">
        <v>41.6</v>
      </c>
      <c r="AN11" s="374">
        <v>-19.6</v>
      </c>
    </row>
    <row r="12" s="293" customFormat="1" ht="20.2" customHeight="1" spans="1:40">
      <c r="A12" s="372"/>
      <c r="B12" s="375">
        <v>5</v>
      </c>
      <c r="C12" s="357" t="s">
        <v>117</v>
      </c>
      <c r="D12" s="358" t="s">
        <v>118</v>
      </c>
      <c r="E12" s="376" t="s">
        <v>119</v>
      </c>
      <c r="F12" s="376" t="s">
        <v>120</v>
      </c>
      <c r="G12" s="376">
        <v>724.2</v>
      </c>
      <c r="H12" s="376" t="s">
        <v>47</v>
      </c>
      <c r="I12" s="376">
        <v>8.8</v>
      </c>
      <c r="J12" s="376">
        <v>-13.6</v>
      </c>
      <c r="K12" s="376">
        <v>-8.3</v>
      </c>
      <c r="L12" s="376">
        <v>-16.2</v>
      </c>
      <c r="M12" s="376">
        <v>41</v>
      </c>
      <c r="N12" s="376">
        <v>32.1</v>
      </c>
      <c r="O12" s="376">
        <v>22.6</v>
      </c>
      <c r="P12" s="376">
        <v>27.8</v>
      </c>
      <c r="Q12" s="376">
        <v>50</v>
      </c>
      <c r="R12" s="376">
        <v>27</v>
      </c>
      <c r="S12" s="376">
        <v>2.1</v>
      </c>
      <c r="T12" s="376" t="s">
        <v>121</v>
      </c>
      <c r="U12" s="376" t="s">
        <v>122</v>
      </c>
      <c r="V12" s="376">
        <v>2.9</v>
      </c>
      <c r="W12" s="376">
        <v>2.8</v>
      </c>
      <c r="X12" s="376" t="s">
        <v>123</v>
      </c>
      <c r="Y12" s="376">
        <v>35</v>
      </c>
      <c r="Z12" s="376">
        <v>3.5</v>
      </c>
      <c r="AA12" s="376" t="s">
        <v>123</v>
      </c>
      <c r="AB12" s="376">
        <v>26</v>
      </c>
      <c r="AC12" s="376">
        <v>65</v>
      </c>
      <c r="AD12" s="376">
        <v>136</v>
      </c>
      <c r="AE12" s="376">
        <v>939.5</v>
      </c>
      <c r="AF12" s="376">
        <v>925</v>
      </c>
      <c r="AG12" s="376">
        <v>146</v>
      </c>
      <c r="AH12" s="376" t="s">
        <v>124</v>
      </c>
      <c r="AI12" s="376">
        <v>-3.9</v>
      </c>
      <c r="AJ12" s="376">
        <v>168</v>
      </c>
      <c r="AK12" s="376" t="s">
        <v>125</v>
      </c>
      <c r="AL12" s="376">
        <v>-2.6</v>
      </c>
      <c r="AM12" s="376">
        <v>39.2</v>
      </c>
      <c r="AN12" s="377">
        <v>-24.6</v>
      </c>
    </row>
    <row r="13" s="294" customFormat="1" ht="20.2" customHeight="1" spans="1:40">
      <c r="A13" s="372"/>
      <c r="B13" s="361">
        <v>6</v>
      </c>
      <c r="C13" s="357" t="s">
        <v>126</v>
      </c>
      <c r="D13" s="358" t="s">
        <v>127</v>
      </c>
      <c r="E13" s="378" t="s">
        <v>128</v>
      </c>
      <c r="F13" s="378" t="s">
        <v>129</v>
      </c>
      <c r="G13" s="378">
        <v>377.2</v>
      </c>
      <c r="H13" s="378" t="s">
        <v>47</v>
      </c>
      <c r="I13" s="378">
        <v>9.1</v>
      </c>
      <c r="J13" s="378">
        <v>-13.3</v>
      </c>
      <c r="K13" s="378">
        <v>-9.1</v>
      </c>
      <c r="L13" s="378">
        <v>-15.7</v>
      </c>
      <c r="M13" s="378">
        <v>51</v>
      </c>
      <c r="N13" s="378">
        <v>32.7</v>
      </c>
      <c r="O13" s="378">
        <v>24.1</v>
      </c>
      <c r="P13" s="378">
        <v>28.7</v>
      </c>
      <c r="Q13" s="378">
        <v>55</v>
      </c>
      <c r="R13" s="378">
        <v>27.4</v>
      </c>
      <c r="S13" s="378">
        <v>0.9</v>
      </c>
      <c r="T13" s="378" t="s">
        <v>130</v>
      </c>
      <c r="U13" s="378" t="s">
        <v>131</v>
      </c>
      <c r="V13" s="378">
        <v>2.5</v>
      </c>
      <c r="W13" s="378">
        <v>1</v>
      </c>
      <c r="X13" s="378" t="s">
        <v>132</v>
      </c>
      <c r="Y13" s="378" t="s">
        <v>133</v>
      </c>
      <c r="Z13" s="378">
        <v>3.3</v>
      </c>
      <c r="AA13" s="378" t="s">
        <v>134</v>
      </c>
      <c r="AB13" s="378" t="s">
        <v>135</v>
      </c>
      <c r="AC13" s="378">
        <v>65</v>
      </c>
      <c r="AD13" s="378">
        <v>126</v>
      </c>
      <c r="AE13" s="378">
        <v>980.5</v>
      </c>
      <c r="AF13" s="378">
        <v>963.3</v>
      </c>
      <c r="AG13" s="378">
        <v>145</v>
      </c>
      <c r="AH13" s="378" t="s">
        <v>136</v>
      </c>
      <c r="AI13" s="378">
        <v>-4.1</v>
      </c>
      <c r="AJ13" s="378">
        <v>166</v>
      </c>
      <c r="AK13" s="378" t="s">
        <v>137</v>
      </c>
      <c r="AL13" s="378">
        <v>-2.9</v>
      </c>
      <c r="AM13" s="378">
        <v>43.3</v>
      </c>
      <c r="AN13" s="379">
        <v>-24.2</v>
      </c>
    </row>
    <row r="14" s="289" customFormat="1" ht="20.2" customHeight="1" spans="1:40">
      <c r="A14" s="372"/>
      <c r="B14" s="361">
        <v>7</v>
      </c>
      <c r="C14" s="357" t="s">
        <v>138</v>
      </c>
      <c r="D14" s="358" t="s">
        <v>139</v>
      </c>
      <c r="E14" s="361" t="s">
        <v>140</v>
      </c>
      <c r="F14" s="361" t="s">
        <v>141</v>
      </c>
      <c r="G14" s="361">
        <v>2.6</v>
      </c>
      <c r="H14" s="361" t="s">
        <v>47</v>
      </c>
      <c r="I14" s="361">
        <v>11</v>
      </c>
      <c r="J14" s="361">
        <v>-9.6</v>
      </c>
      <c r="K14" s="361">
        <v>-4.8</v>
      </c>
      <c r="L14" s="361">
        <v>-12</v>
      </c>
      <c r="M14" s="361">
        <v>51</v>
      </c>
      <c r="N14" s="361">
        <v>30.6</v>
      </c>
      <c r="O14" s="361">
        <v>25.9</v>
      </c>
      <c r="P14" s="361">
        <v>27.5</v>
      </c>
      <c r="Q14" s="361">
        <v>55</v>
      </c>
      <c r="R14" s="361">
        <v>27.7</v>
      </c>
      <c r="S14" s="361">
        <v>2.3</v>
      </c>
      <c r="T14" s="361" t="s">
        <v>142</v>
      </c>
      <c r="U14" s="361" t="s">
        <v>143</v>
      </c>
      <c r="V14" s="361">
        <v>2.7</v>
      </c>
      <c r="W14" s="361">
        <v>2.5</v>
      </c>
      <c r="X14" s="361" t="s">
        <v>144</v>
      </c>
      <c r="Y14" s="361" t="s">
        <v>145</v>
      </c>
      <c r="Z14" s="361">
        <v>3</v>
      </c>
      <c r="AA14" s="361" t="s">
        <v>92</v>
      </c>
      <c r="AB14" s="361" t="s">
        <v>49</v>
      </c>
      <c r="AC14" s="361">
        <v>64</v>
      </c>
      <c r="AD14" s="361">
        <v>85</v>
      </c>
      <c r="AE14" s="361">
        <v>1026.4</v>
      </c>
      <c r="AF14" s="361">
        <v>1005.6</v>
      </c>
      <c r="AG14" s="361">
        <v>135</v>
      </c>
      <c r="AH14" s="361" t="s">
        <v>146</v>
      </c>
      <c r="AI14" s="361">
        <v>-1.2</v>
      </c>
      <c r="AJ14" s="361">
        <v>153</v>
      </c>
      <c r="AK14" s="361" t="s">
        <v>147</v>
      </c>
      <c r="AL14" s="361">
        <v>-0.3</v>
      </c>
      <c r="AM14" s="361">
        <v>39.2</v>
      </c>
      <c r="AN14" s="362">
        <v>-20.8</v>
      </c>
    </row>
    <row r="15" s="295" customFormat="1" ht="20.2" customHeight="1" spans="1:40">
      <c r="A15" s="372"/>
      <c r="B15" s="361">
        <v>8</v>
      </c>
      <c r="C15" s="357" t="s">
        <v>148</v>
      </c>
      <c r="D15" s="358" t="s">
        <v>149</v>
      </c>
      <c r="E15" s="380" t="s">
        <v>150</v>
      </c>
      <c r="F15" s="380" t="s">
        <v>151</v>
      </c>
      <c r="G15" s="380">
        <v>9.6</v>
      </c>
      <c r="H15" s="380" t="s">
        <v>152</v>
      </c>
      <c r="I15" s="380">
        <v>12.9</v>
      </c>
      <c r="J15" s="380">
        <v>-7.1</v>
      </c>
      <c r="K15" s="380">
        <v>-3</v>
      </c>
      <c r="L15" s="380">
        <v>-9.6</v>
      </c>
      <c r="M15" s="380">
        <v>57</v>
      </c>
      <c r="N15" s="380">
        <v>34.3</v>
      </c>
      <c r="O15" s="380">
        <v>26.7</v>
      </c>
      <c r="P15" s="380">
        <v>30.1</v>
      </c>
      <c r="Q15" s="380">
        <v>63</v>
      </c>
      <c r="R15" s="380">
        <v>29.7</v>
      </c>
      <c r="S15" s="380">
        <v>2.9</v>
      </c>
      <c r="T15" s="380" t="s">
        <v>153</v>
      </c>
      <c r="U15" s="380">
        <v>12</v>
      </c>
      <c r="V15" s="380">
        <v>2.7</v>
      </c>
      <c r="W15" s="380">
        <v>2.6</v>
      </c>
      <c r="X15" s="380" t="s">
        <v>153</v>
      </c>
      <c r="Y15" s="380">
        <v>12</v>
      </c>
      <c r="Z15" s="380">
        <v>2.8</v>
      </c>
      <c r="AA15" s="380" t="s">
        <v>153</v>
      </c>
      <c r="AB15" s="380">
        <v>14</v>
      </c>
      <c r="AC15" s="380">
        <v>64</v>
      </c>
      <c r="AD15" s="380">
        <v>43</v>
      </c>
      <c r="AE15" s="380">
        <v>1027</v>
      </c>
      <c r="AF15" s="380">
        <v>1004</v>
      </c>
      <c r="AG15" s="380">
        <v>118</v>
      </c>
      <c r="AH15" s="380" t="s">
        <v>154</v>
      </c>
      <c r="AI15" s="380">
        <v>-0.5</v>
      </c>
      <c r="AJ15" s="380">
        <v>141</v>
      </c>
      <c r="AK15" s="380" t="s">
        <v>155</v>
      </c>
      <c r="AL15" s="380">
        <v>0.7</v>
      </c>
      <c r="AM15" s="380">
        <v>40.5</v>
      </c>
      <c r="AN15" s="381">
        <v>-19.5</v>
      </c>
    </row>
    <row r="16" s="296" customFormat="1" ht="20.2" customHeight="1" spans="1:40">
      <c r="A16" s="372"/>
      <c r="B16" s="361">
        <v>9</v>
      </c>
      <c r="C16" s="357" t="s">
        <v>156</v>
      </c>
      <c r="D16" s="358" t="s">
        <v>157</v>
      </c>
      <c r="E16" s="382" t="s">
        <v>158</v>
      </c>
      <c r="F16" s="382" t="s">
        <v>159</v>
      </c>
      <c r="G16" s="382">
        <v>9</v>
      </c>
      <c r="H16" s="382" t="s">
        <v>47</v>
      </c>
      <c r="I16" s="382">
        <v>12.2</v>
      </c>
      <c r="J16" s="382">
        <v>-8.3</v>
      </c>
      <c r="K16" s="382">
        <v>-4.4</v>
      </c>
      <c r="L16" s="382">
        <v>-11</v>
      </c>
      <c r="M16" s="382">
        <v>54</v>
      </c>
      <c r="N16" s="382">
        <v>34.4</v>
      </c>
      <c r="O16" s="382">
        <v>26.6</v>
      </c>
      <c r="P16" s="382">
        <v>30.1</v>
      </c>
      <c r="Q16" s="382">
        <v>61</v>
      </c>
      <c r="R16" s="382">
        <v>29.6</v>
      </c>
      <c r="S16" s="382">
        <v>2.2</v>
      </c>
      <c r="T16" s="382" t="s">
        <v>160</v>
      </c>
      <c r="U16" s="382" t="s">
        <v>161</v>
      </c>
      <c r="V16" s="382">
        <v>2.5</v>
      </c>
      <c r="W16" s="382">
        <v>2.1</v>
      </c>
      <c r="X16" s="382" t="s">
        <v>162</v>
      </c>
      <c r="Y16" s="382" t="s">
        <v>163</v>
      </c>
      <c r="Z16" s="382">
        <v>3.3</v>
      </c>
      <c r="AA16" s="382" t="s">
        <v>52</v>
      </c>
      <c r="AB16" s="382" t="s">
        <v>164</v>
      </c>
      <c r="AC16" s="382">
        <v>57</v>
      </c>
      <c r="AD16" s="382">
        <v>67</v>
      </c>
      <c r="AE16" s="382">
        <v>1026.4</v>
      </c>
      <c r="AF16" s="382">
        <v>1004</v>
      </c>
      <c r="AG16" s="382">
        <v>124</v>
      </c>
      <c r="AH16" s="382" t="s">
        <v>165</v>
      </c>
      <c r="AI16" s="382">
        <v>-1.3</v>
      </c>
      <c r="AJ16" s="382">
        <v>143</v>
      </c>
      <c r="AK16" s="382" t="s">
        <v>116</v>
      </c>
      <c r="AL16" s="382">
        <v>-0.3</v>
      </c>
      <c r="AM16" s="382">
        <v>41.3</v>
      </c>
      <c r="AN16" s="383">
        <v>-21.5</v>
      </c>
    </row>
    <row r="17" s="294" customFormat="1" ht="20.2" customHeight="1" spans="1:40">
      <c r="A17" s="372"/>
      <c r="B17" s="384">
        <v>10</v>
      </c>
      <c r="C17" s="385" t="s">
        <v>166</v>
      </c>
      <c r="D17" s="378" t="s">
        <v>167</v>
      </c>
      <c r="E17" s="378" t="s">
        <v>168</v>
      </c>
      <c r="F17" s="378" t="s">
        <v>169</v>
      </c>
      <c r="G17" s="378">
        <v>18.9</v>
      </c>
      <c r="H17" s="378" t="s">
        <v>47</v>
      </c>
      <c r="I17" s="378">
        <v>12.5</v>
      </c>
      <c r="J17" s="378">
        <v>-7.9</v>
      </c>
      <c r="K17" s="378">
        <v>-3.9</v>
      </c>
      <c r="L17" s="378">
        <v>-10.4</v>
      </c>
      <c r="M17" s="378">
        <v>59</v>
      </c>
      <c r="N17" s="378">
        <v>34.8</v>
      </c>
      <c r="O17" s="378">
        <v>26.9</v>
      </c>
      <c r="P17" s="378">
        <v>30.5</v>
      </c>
      <c r="Q17" s="378">
        <v>61</v>
      </c>
      <c r="R17" s="378">
        <v>29.6</v>
      </c>
      <c r="S17" s="378">
        <v>2.2</v>
      </c>
      <c r="T17" s="378" t="s">
        <v>48</v>
      </c>
      <c r="U17" s="378" t="s">
        <v>170</v>
      </c>
      <c r="V17" s="378">
        <v>3</v>
      </c>
      <c r="W17" s="378">
        <v>2</v>
      </c>
      <c r="X17" s="378" t="s">
        <v>52</v>
      </c>
      <c r="Y17" s="378" t="s">
        <v>171</v>
      </c>
      <c r="Z17" s="378">
        <v>2.6</v>
      </c>
      <c r="AA17" s="378" t="s">
        <v>52</v>
      </c>
      <c r="AB17" s="378" t="s">
        <v>172</v>
      </c>
      <c r="AC17" s="378">
        <v>63</v>
      </c>
      <c r="AD17" s="378">
        <v>77</v>
      </c>
      <c r="AE17" s="378">
        <v>1024.9</v>
      </c>
      <c r="AF17" s="378">
        <v>1002.8</v>
      </c>
      <c r="AG17" s="378">
        <v>122</v>
      </c>
      <c r="AH17" s="378" t="s">
        <v>173</v>
      </c>
      <c r="AI17" s="378">
        <v>-0.9</v>
      </c>
      <c r="AJ17" s="378">
        <v>143</v>
      </c>
      <c r="AK17" s="378" t="s">
        <v>116</v>
      </c>
      <c r="AL17" s="378">
        <v>0.2</v>
      </c>
      <c r="AM17" s="378">
        <v>41.2</v>
      </c>
      <c r="AN17" s="379">
        <v>-22.6</v>
      </c>
    </row>
    <row r="18" s="297" customFormat="1" ht="20.2" customHeight="1" spans="1:40">
      <c r="A18" s="386" t="s">
        <v>174</v>
      </c>
      <c r="B18" s="387">
        <v>1</v>
      </c>
      <c r="C18" s="388" t="s">
        <v>175</v>
      </c>
      <c r="D18" s="387" t="s">
        <v>176</v>
      </c>
      <c r="E18" s="387" t="s">
        <v>177</v>
      </c>
      <c r="F18" s="387" t="s">
        <v>178</v>
      </c>
      <c r="G18" s="387">
        <v>778.3</v>
      </c>
      <c r="H18" s="387" t="s">
        <v>47</v>
      </c>
      <c r="I18" s="387">
        <v>10</v>
      </c>
      <c r="J18" s="387">
        <v>-10.1</v>
      </c>
      <c r="K18" s="387">
        <v>-5.5</v>
      </c>
      <c r="L18" s="387">
        <v>-12.8</v>
      </c>
      <c r="M18" s="387">
        <v>50</v>
      </c>
      <c r="N18" s="387">
        <v>31.5</v>
      </c>
      <c r="O18" s="387">
        <v>23.8</v>
      </c>
      <c r="P18" s="387">
        <v>27.8</v>
      </c>
      <c r="Q18" s="387">
        <v>58</v>
      </c>
      <c r="R18" s="387">
        <v>26.1</v>
      </c>
      <c r="S18" s="387">
        <v>1.8</v>
      </c>
      <c r="T18" s="387" t="s">
        <v>50</v>
      </c>
      <c r="U18" s="387" t="s">
        <v>179</v>
      </c>
      <c r="V18" s="387">
        <v>2.4</v>
      </c>
      <c r="W18" s="387">
        <v>2</v>
      </c>
      <c r="X18" s="387" t="s">
        <v>50</v>
      </c>
      <c r="Y18" s="387" t="s">
        <v>180</v>
      </c>
      <c r="Z18" s="387">
        <v>2.6</v>
      </c>
      <c r="AA18" s="387" t="s">
        <v>50</v>
      </c>
      <c r="AB18" s="387" t="s">
        <v>181</v>
      </c>
      <c r="AC18" s="387">
        <v>57</v>
      </c>
      <c r="AD18" s="387">
        <v>72</v>
      </c>
      <c r="AE18" s="387">
        <v>933.5</v>
      </c>
      <c r="AF18" s="387">
        <v>919.8</v>
      </c>
      <c r="AG18" s="387">
        <v>141</v>
      </c>
      <c r="AH18" s="387" t="s">
        <v>182</v>
      </c>
      <c r="AI18" s="387">
        <v>-1.7</v>
      </c>
      <c r="AJ18" s="387">
        <v>160</v>
      </c>
      <c r="AK18" s="387" t="s">
        <v>183</v>
      </c>
      <c r="AL18" s="387">
        <v>-0.7</v>
      </c>
      <c r="AM18" s="387">
        <v>37.4</v>
      </c>
      <c r="AN18" s="389">
        <v>-22.7</v>
      </c>
    </row>
    <row r="19" ht="20.2" customHeight="1" spans="1:40">
      <c r="A19" s="239"/>
      <c r="B19" s="255">
        <v>2</v>
      </c>
      <c r="C19" s="253" t="s">
        <v>184</v>
      </c>
      <c r="D19" s="255" t="s">
        <v>185</v>
      </c>
      <c r="E19" s="257" t="s">
        <v>186</v>
      </c>
      <c r="F19" s="257" t="s">
        <v>187</v>
      </c>
      <c r="G19" s="257">
        <v>1067.2</v>
      </c>
      <c r="H19" s="257" t="s">
        <v>47</v>
      </c>
      <c r="I19" s="257">
        <v>7</v>
      </c>
      <c r="J19" s="257">
        <v>-16.3</v>
      </c>
      <c r="K19" s="257">
        <v>-10.6</v>
      </c>
      <c r="L19" s="257">
        <v>-18.9</v>
      </c>
      <c r="M19" s="257">
        <v>50</v>
      </c>
      <c r="N19" s="257">
        <v>30.9</v>
      </c>
      <c r="O19" s="257">
        <v>21.2</v>
      </c>
      <c r="P19" s="257">
        <v>26.4</v>
      </c>
      <c r="Q19" s="257">
        <v>49</v>
      </c>
      <c r="R19" s="257">
        <v>25.3</v>
      </c>
      <c r="S19" s="257">
        <v>2.5</v>
      </c>
      <c r="T19" s="257" t="s">
        <v>188</v>
      </c>
      <c r="U19" s="257" t="s">
        <v>189</v>
      </c>
      <c r="V19" s="257">
        <v>3.1</v>
      </c>
      <c r="W19" s="257">
        <v>2.8</v>
      </c>
      <c r="X19" s="257" t="s">
        <v>190</v>
      </c>
      <c r="Y19" s="257">
        <v>19</v>
      </c>
      <c r="Z19" s="257">
        <v>3.3</v>
      </c>
      <c r="AA19" s="257" t="s">
        <v>188</v>
      </c>
      <c r="AB19" s="257" t="s">
        <v>191</v>
      </c>
      <c r="AC19" s="257">
        <v>61</v>
      </c>
      <c r="AD19" s="257">
        <v>186</v>
      </c>
      <c r="AE19" s="257">
        <v>899.9</v>
      </c>
      <c r="AF19" s="257">
        <v>889.1</v>
      </c>
      <c r="AG19" s="257">
        <v>163</v>
      </c>
      <c r="AH19" s="257" t="s">
        <v>192</v>
      </c>
      <c r="AI19" s="257">
        <v>-4.8</v>
      </c>
      <c r="AJ19" s="257">
        <v>183</v>
      </c>
      <c r="AK19" s="257" t="s">
        <v>193</v>
      </c>
      <c r="AL19" s="257">
        <v>-3.5</v>
      </c>
      <c r="AM19" s="257">
        <v>37.2</v>
      </c>
      <c r="AN19" s="270">
        <v>-27.2</v>
      </c>
    </row>
    <row r="20" ht="20.2" customHeight="1" spans="1:40">
      <c r="A20" s="239"/>
      <c r="B20" s="255">
        <v>3</v>
      </c>
      <c r="C20" s="253" t="s">
        <v>194</v>
      </c>
      <c r="D20" s="255" t="s">
        <v>195</v>
      </c>
      <c r="E20" s="257" t="s">
        <v>196</v>
      </c>
      <c r="F20" s="257" t="s">
        <v>197</v>
      </c>
      <c r="G20" s="257">
        <v>741.9</v>
      </c>
      <c r="H20" s="257" t="s">
        <v>47</v>
      </c>
      <c r="I20" s="257">
        <v>11.3</v>
      </c>
      <c r="J20" s="257">
        <v>-8.3</v>
      </c>
      <c r="K20" s="257">
        <v>-3.4</v>
      </c>
      <c r="L20" s="257">
        <v>-10.4</v>
      </c>
      <c r="M20" s="257">
        <v>43</v>
      </c>
      <c r="N20" s="257">
        <v>32.8</v>
      </c>
      <c r="O20" s="257">
        <v>23.6</v>
      </c>
      <c r="P20" s="257">
        <v>28.2</v>
      </c>
      <c r="Q20" s="257">
        <v>55</v>
      </c>
      <c r="R20" s="257">
        <v>27.4</v>
      </c>
      <c r="S20" s="257">
        <v>1.6</v>
      </c>
      <c r="T20" s="257" t="s">
        <v>198</v>
      </c>
      <c r="U20" s="257" t="s">
        <v>199</v>
      </c>
      <c r="V20" s="257">
        <v>2.3</v>
      </c>
      <c r="W20" s="257">
        <v>2.2</v>
      </c>
      <c r="X20" s="257" t="s">
        <v>200</v>
      </c>
      <c r="Y20" s="257" t="s">
        <v>201</v>
      </c>
      <c r="Z20" s="257">
        <v>3.7</v>
      </c>
      <c r="AA20" s="257" t="s">
        <v>202</v>
      </c>
      <c r="AB20" s="257" t="s">
        <v>203</v>
      </c>
      <c r="AC20" s="257">
        <v>62</v>
      </c>
      <c r="AD20" s="257">
        <v>62</v>
      </c>
      <c r="AE20" s="257">
        <v>937.1</v>
      </c>
      <c r="AF20" s="257">
        <v>923.8</v>
      </c>
      <c r="AG20" s="257">
        <v>126</v>
      </c>
      <c r="AH20" s="257" t="s">
        <v>204</v>
      </c>
      <c r="AI20" s="257">
        <v>-0.5</v>
      </c>
      <c r="AJ20" s="257">
        <v>146</v>
      </c>
      <c r="AK20" s="257" t="s">
        <v>96</v>
      </c>
      <c r="AL20" s="257">
        <v>0.3</v>
      </c>
      <c r="AM20" s="257">
        <v>40.2</v>
      </c>
      <c r="AN20" s="270">
        <v>-16.2</v>
      </c>
    </row>
    <row r="21" s="298" customFormat="1" ht="20.2" customHeight="1" spans="1:40">
      <c r="A21" s="239"/>
      <c r="B21" s="255">
        <v>4</v>
      </c>
      <c r="C21" s="253" t="s">
        <v>205</v>
      </c>
      <c r="D21" s="255" t="s">
        <v>206</v>
      </c>
      <c r="E21" s="390" t="s">
        <v>207</v>
      </c>
      <c r="F21" s="390" t="s">
        <v>208</v>
      </c>
      <c r="G21" s="390">
        <v>376</v>
      </c>
      <c r="H21" s="390" t="s">
        <v>47</v>
      </c>
      <c r="I21" s="390">
        <v>9.14</v>
      </c>
      <c r="J21" s="390">
        <v>-4.5</v>
      </c>
      <c r="K21" s="390">
        <v>-0.9</v>
      </c>
      <c r="L21" s="390">
        <v>-7.4</v>
      </c>
      <c r="M21" s="390">
        <v>57</v>
      </c>
      <c r="N21" s="390">
        <v>35.8</v>
      </c>
      <c r="O21" s="390">
        <v>26</v>
      </c>
      <c r="P21" s="390">
        <v>31.3</v>
      </c>
      <c r="Q21" s="390">
        <v>55</v>
      </c>
      <c r="R21" s="390">
        <v>31.5</v>
      </c>
      <c r="S21" s="390">
        <v>3.1</v>
      </c>
      <c r="T21" s="390" t="s">
        <v>70</v>
      </c>
      <c r="U21" s="390">
        <v>16</v>
      </c>
      <c r="V21" s="390">
        <v>5</v>
      </c>
      <c r="W21" s="390">
        <v>2.4</v>
      </c>
      <c r="X21" s="390" t="s">
        <v>209</v>
      </c>
      <c r="Y21" s="390" t="s">
        <v>210</v>
      </c>
      <c r="Z21" s="390">
        <v>2.8</v>
      </c>
      <c r="AA21" s="390" t="s">
        <v>211</v>
      </c>
      <c r="AB21" s="390" t="s">
        <v>212</v>
      </c>
      <c r="AC21" s="390">
        <v>49</v>
      </c>
      <c r="AD21" s="390">
        <v>39</v>
      </c>
      <c r="AE21" s="390">
        <v>982</v>
      </c>
      <c r="AF21" s="390">
        <v>962.7</v>
      </c>
      <c r="AG21" s="390">
        <v>101</v>
      </c>
      <c r="AH21" s="390" t="s">
        <v>213</v>
      </c>
      <c r="AI21" s="390">
        <v>0.9</v>
      </c>
      <c r="AJ21" s="390">
        <v>127</v>
      </c>
      <c r="AK21" s="390" t="s">
        <v>214</v>
      </c>
      <c r="AL21" s="390">
        <v>2</v>
      </c>
      <c r="AM21" s="390">
        <v>41.2</v>
      </c>
      <c r="AN21" s="391">
        <v>-18.9</v>
      </c>
    </row>
    <row r="22" ht="20.2" customHeight="1" spans="1:40">
      <c r="A22" s="239"/>
      <c r="B22" s="255">
        <v>5</v>
      </c>
      <c r="C22" s="253" t="s">
        <v>215</v>
      </c>
      <c r="D22" s="255" t="s">
        <v>216</v>
      </c>
      <c r="E22" s="257" t="s">
        <v>217</v>
      </c>
      <c r="F22" s="257" t="s">
        <v>218</v>
      </c>
      <c r="G22" s="257">
        <v>659.5</v>
      </c>
      <c r="H22" s="257" t="s">
        <v>47</v>
      </c>
      <c r="I22" s="257">
        <v>11.8</v>
      </c>
      <c r="J22" s="257">
        <v>-6.6</v>
      </c>
      <c r="K22" s="257">
        <v>-2.6</v>
      </c>
      <c r="L22" s="257">
        <v>-9.1</v>
      </c>
      <c r="M22" s="257">
        <v>53</v>
      </c>
      <c r="N22" s="257">
        <v>32.7</v>
      </c>
      <c r="O22" s="257">
        <v>24.6</v>
      </c>
      <c r="P22" s="257">
        <v>28.8</v>
      </c>
      <c r="Q22" s="257">
        <v>59</v>
      </c>
      <c r="R22" s="257">
        <v>27.3</v>
      </c>
      <c r="S22" s="257">
        <v>1.7</v>
      </c>
      <c r="T22" s="257" t="s">
        <v>211</v>
      </c>
      <c r="U22" s="257" t="s">
        <v>219</v>
      </c>
      <c r="V22" s="257">
        <v>2.9</v>
      </c>
      <c r="W22" s="257">
        <v>1.9</v>
      </c>
      <c r="X22" s="257" t="s">
        <v>134</v>
      </c>
      <c r="Y22" s="257" t="s">
        <v>220</v>
      </c>
      <c r="Z22" s="257">
        <v>4.9</v>
      </c>
      <c r="AA22" s="257" t="s">
        <v>132</v>
      </c>
      <c r="AB22" s="257" t="s">
        <v>221</v>
      </c>
      <c r="AC22" s="257">
        <v>58</v>
      </c>
      <c r="AD22" s="257">
        <v>39</v>
      </c>
      <c r="AE22" s="257">
        <v>947.4</v>
      </c>
      <c r="AF22" s="257">
        <v>932.4</v>
      </c>
      <c r="AG22" s="257">
        <v>120</v>
      </c>
      <c r="AH22" s="257" t="s">
        <v>222</v>
      </c>
      <c r="AI22" s="257">
        <v>0</v>
      </c>
      <c r="AJ22" s="257">
        <v>143</v>
      </c>
      <c r="AK22" s="257" t="s">
        <v>223</v>
      </c>
      <c r="AL22" s="257">
        <v>1</v>
      </c>
      <c r="AM22" s="257">
        <v>38.5</v>
      </c>
      <c r="AN22" s="270">
        <v>-17.2</v>
      </c>
    </row>
    <row r="23" s="298" customFormat="1" ht="20.2" customHeight="1" spans="1:40">
      <c r="A23" s="239"/>
      <c r="B23" s="255">
        <v>6</v>
      </c>
      <c r="C23" s="253" t="s">
        <v>224</v>
      </c>
      <c r="D23" s="255" t="s">
        <v>225</v>
      </c>
      <c r="E23" s="390" t="s">
        <v>226</v>
      </c>
      <c r="F23" s="390" t="s">
        <v>227</v>
      </c>
      <c r="G23" s="390">
        <v>1348.8</v>
      </c>
      <c r="H23" s="390" t="s">
        <v>47</v>
      </c>
      <c r="I23" s="390">
        <v>3.9</v>
      </c>
      <c r="J23" s="390">
        <v>-20.8</v>
      </c>
      <c r="K23" s="390">
        <v>-14.4</v>
      </c>
      <c r="L23" s="390">
        <v>-25.4</v>
      </c>
      <c r="M23" s="390">
        <v>61</v>
      </c>
      <c r="N23" s="390">
        <v>29</v>
      </c>
      <c r="O23" s="390">
        <v>19.8</v>
      </c>
      <c r="P23" s="390">
        <v>24.5</v>
      </c>
      <c r="Q23" s="390">
        <v>50</v>
      </c>
      <c r="R23" s="390">
        <v>22.5</v>
      </c>
      <c r="S23" s="390">
        <v>2.1</v>
      </c>
      <c r="T23" s="390" t="s">
        <v>90</v>
      </c>
      <c r="U23" s="390" t="s">
        <v>228</v>
      </c>
      <c r="V23" s="390">
        <v>2.8</v>
      </c>
      <c r="W23" s="390">
        <v>2.3</v>
      </c>
      <c r="X23" s="390" t="s">
        <v>132</v>
      </c>
      <c r="Y23" s="390" t="s">
        <v>229</v>
      </c>
      <c r="Z23" s="390">
        <v>5</v>
      </c>
      <c r="AA23" s="390" t="s">
        <v>144</v>
      </c>
      <c r="AB23" s="390" t="s">
        <v>230</v>
      </c>
      <c r="AC23" s="390">
        <v>71</v>
      </c>
      <c r="AD23" s="390">
        <v>169</v>
      </c>
      <c r="AE23" s="390">
        <v>868.6</v>
      </c>
      <c r="AF23" s="390">
        <v>860.7</v>
      </c>
      <c r="AG23" s="390">
        <v>182</v>
      </c>
      <c r="AH23" s="390" t="s">
        <v>231</v>
      </c>
      <c r="AI23" s="390">
        <v>-6.9</v>
      </c>
      <c r="AJ23" s="390">
        <v>208</v>
      </c>
      <c r="AK23" s="390" t="s">
        <v>232</v>
      </c>
      <c r="AL23" s="390">
        <v>-5.2</v>
      </c>
      <c r="AM23" s="390">
        <v>34.4</v>
      </c>
      <c r="AN23" s="391">
        <v>-40.4</v>
      </c>
    </row>
    <row r="24" ht="20.2" customHeight="1" spans="1:40">
      <c r="A24" s="239"/>
      <c r="B24" s="255">
        <v>7</v>
      </c>
      <c r="C24" s="253" t="s">
        <v>233</v>
      </c>
      <c r="D24" s="255" t="s">
        <v>234</v>
      </c>
      <c r="E24" s="257" t="s">
        <v>99</v>
      </c>
      <c r="F24" s="257" t="s">
        <v>235</v>
      </c>
      <c r="G24" s="257">
        <v>1041.4</v>
      </c>
      <c r="H24" s="257" t="s">
        <v>47</v>
      </c>
      <c r="I24" s="257">
        <v>8.8</v>
      </c>
      <c r="J24" s="257">
        <v>-11.1</v>
      </c>
      <c r="K24" s="257">
        <v>-6.6</v>
      </c>
      <c r="L24" s="257">
        <v>-13.6</v>
      </c>
      <c r="M24" s="257">
        <v>49</v>
      </c>
      <c r="N24" s="257">
        <v>30.8</v>
      </c>
      <c r="O24" s="257">
        <v>22.3</v>
      </c>
      <c r="P24" s="257">
        <v>26.8</v>
      </c>
      <c r="Q24" s="257">
        <v>55</v>
      </c>
      <c r="R24" s="257">
        <v>24.8</v>
      </c>
      <c r="S24" s="257">
        <v>1.5</v>
      </c>
      <c r="T24" s="257" t="s">
        <v>130</v>
      </c>
      <c r="U24" s="257" t="s">
        <v>236</v>
      </c>
      <c r="V24" s="257">
        <v>2.8</v>
      </c>
      <c r="W24" s="257">
        <v>1.3</v>
      </c>
      <c r="X24" s="257" t="s">
        <v>237</v>
      </c>
      <c r="Y24" s="257" t="s">
        <v>238</v>
      </c>
      <c r="Z24" s="257">
        <v>1.9</v>
      </c>
      <c r="AA24" s="257" t="s">
        <v>237</v>
      </c>
      <c r="AB24" s="257" t="s">
        <v>239</v>
      </c>
      <c r="AC24" s="257">
        <v>62</v>
      </c>
      <c r="AD24" s="257">
        <v>76</v>
      </c>
      <c r="AE24" s="257">
        <v>902.6</v>
      </c>
      <c r="AF24" s="257">
        <v>892</v>
      </c>
      <c r="AG24" s="257">
        <v>144</v>
      </c>
      <c r="AH24" s="257" t="s">
        <v>240</v>
      </c>
      <c r="AI24" s="257">
        <v>-2.6</v>
      </c>
      <c r="AJ24" s="257">
        <v>168</v>
      </c>
      <c r="AK24" s="257" t="s">
        <v>125</v>
      </c>
      <c r="AL24" s="257">
        <v>-1.3</v>
      </c>
      <c r="AM24" s="257">
        <v>36.7</v>
      </c>
      <c r="AN24" s="270">
        <v>-25.1</v>
      </c>
    </row>
    <row r="25" ht="20.2" customHeight="1" spans="1:40">
      <c r="A25" s="239"/>
      <c r="B25" s="255">
        <v>8</v>
      </c>
      <c r="C25" s="253" t="s">
        <v>241</v>
      </c>
      <c r="D25" s="255" t="s">
        <v>242</v>
      </c>
      <c r="E25" s="257" t="s">
        <v>243</v>
      </c>
      <c r="F25" s="257" t="s">
        <v>244</v>
      </c>
      <c r="G25" s="257">
        <v>828.2</v>
      </c>
      <c r="H25" s="257" t="s">
        <v>47</v>
      </c>
      <c r="I25" s="257">
        <v>9</v>
      </c>
      <c r="J25" s="257">
        <v>-12.3</v>
      </c>
      <c r="K25" s="257">
        <v>-7.7</v>
      </c>
      <c r="L25" s="257">
        <v>-14.7</v>
      </c>
      <c r="M25" s="257">
        <v>47</v>
      </c>
      <c r="N25" s="257">
        <v>31.8</v>
      </c>
      <c r="O25" s="257">
        <v>22.9</v>
      </c>
      <c r="P25" s="257">
        <v>27.6</v>
      </c>
      <c r="Q25" s="257">
        <v>53</v>
      </c>
      <c r="R25" s="257">
        <v>26.2</v>
      </c>
      <c r="S25" s="257">
        <v>1.9</v>
      </c>
      <c r="T25" s="257" t="s">
        <v>80</v>
      </c>
      <c r="U25" s="257" t="s">
        <v>245</v>
      </c>
      <c r="V25" s="257">
        <v>2.4</v>
      </c>
      <c r="W25" s="257">
        <v>2.3</v>
      </c>
      <c r="X25" s="257" t="s">
        <v>246</v>
      </c>
      <c r="Y25" s="257" t="s">
        <v>247</v>
      </c>
      <c r="Z25" s="257">
        <v>3.8</v>
      </c>
      <c r="AA25" s="257" t="s">
        <v>80</v>
      </c>
      <c r="AB25" s="257" t="s">
        <v>248</v>
      </c>
      <c r="AC25" s="257">
        <v>60</v>
      </c>
      <c r="AD25" s="257">
        <v>121</v>
      </c>
      <c r="AE25" s="257">
        <v>926.9</v>
      </c>
      <c r="AF25" s="257">
        <v>913.8</v>
      </c>
      <c r="AG25" s="257">
        <v>145</v>
      </c>
      <c r="AH25" s="257" t="s">
        <v>136</v>
      </c>
      <c r="AI25" s="257">
        <v>-3.2</v>
      </c>
      <c r="AJ25" s="257">
        <v>168</v>
      </c>
      <c r="AK25" s="257" t="s">
        <v>125</v>
      </c>
      <c r="AL25" s="257">
        <v>-1.9</v>
      </c>
      <c r="AM25" s="257">
        <v>38.1</v>
      </c>
      <c r="AN25" s="270">
        <v>-25.8</v>
      </c>
    </row>
    <row r="26" ht="20.2" customHeight="1" spans="1:40">
      <c r="A26" s="239"/>
      <c r="B26" s="255">
        <v>9</v>
      </c>
      <c r="C26" s="253" t="s">
        <v>249</v>
      </c>
      <c r="D26" s="255" t="s">
        <v>250</v>
      </c>
      <c r="E26" s="257" t="s">
        <v>251</v>
      </c>
      <c r="F26" s="257" t="s">
        <v>252</v>
      </c>
      <c r="G26" s="257">
        <v>449.5</v>
      </c>
      <c r="H26" s="257" t="s">
        <v>47</v>
      </c>
      <c r="I26" s="257">
        <v>12.6</v>
      </c>
      <c r="J26" s="257">
        <v>-6.6</v>
      </c>
      <c r="K26" s="257">
        <v>-2.7</v>
      </c>
      <c r="L26" s="257">
        <v>-10</v>
      </c>
      <c r="M26" s="257">
        <v>58</v>
      </c>
      <c r="N26" s="257">
        <v>34.6</v>
      </c>
      <c r="O26" s="257">
        <v>25.7</v>
      </c>
      <c r="P26" s="257">
        <v>30.6</v>
      </c>
      <c r="Q26" s="257">
        <v>56</v>
      </c>
      <c r="R26" s="257">
        <v>29.3</v>
      </c>
      <c r="S26" s="257">
        <v>1.8</v>
      </c>
      <c r="T26" s="257" t="s">
        <v>48</v>
      </c>
      <c r="U26" s="257" t="s">
        <v>253</v>
      </c>
      <c r="V26" s="257">
        <v>3</v>
      </c>
      <c r="W26" s="257">
        <v>1.6</v>
      </c>
      <c r="X26" s="257" t="s">
        <v>48</v>
      </c>
      <c r="Y26" s="257" t="s">
        <v>254</v>
      </c>
      <c r="Z26" s="257">
        <v>2.6</v>
      </c>
      <c r="AA26" s="257" t="s">
        <v>48</v>
      </c>
      <c r="AB26" s="257" t="s">
        <v>255</v>
      </c>
      <c r="AC26" s="257">
        <v>47</v>
      </c>
      <c r="AD26" s="257">
        <v>57</v>
      </c>
      <c r="AE26" s="257">
        <v>972.5</v>
      </c>
      <c r="AF26" s="257">
        <v>954.2</v>
      </c>
      <c r="AG26" s="257">
        <v>114</v>
      </c>
      <c r="AH26" s="257" t="s">
        <v>256</v>
      </c>
      <c r="AI26" s="257">
        <v>-0.2</v>
      </c>
      <c r="AJ26" s="257">
        <v>142</v>
      </c>
      <c r="AK26" s="257" t="s">
        <v>65</v>
      </c>
      <c r="AL26" s="257">
        <v>1.1</v>
      </c>
      <c r="AM26" s="257">
        <v>40.5</v>
      </c>
      <c r="AN26" s="270">
        <v>-23.1</v>
      </c>
    </row>
    <row r="27" s="297" customFormat="1" ht="20.2" customHeight="1" spans="1:40">
      <c r="A27" s="363"/>
      <c r="B27" s="387">
        <v>10</v>
      </c>
      <c r="C27" s="388" t="s">
        <v>257</v>
      </c>
      <c r="D27" s="387" t="s">
        <v>258</v>
      </c>
      <c r="E27" s="387" t="s">
        <v>259</v>
      </c>
      <c r="F27" s="387" t="s">
        <v>260</v>
      </c>
      <c r="G27" s="392">
        <v>950.8</v>
      </c>
      <c r="H27" s="392" t="s">
        <v>47</v>
      </c>
      <c r="I27" s="387">
        <v>9.1</v>
      </c>
      <c r="J27" s="387">
        <v>-12.6</v>
      </c>
      <c r="K27" s="387">
        <v>-7.6</v>
      </c>
      <c r="L27" s="387">
        <v>-16</v>
      </c>
      <c r="M27" s="387">
        <v>55</v>
      </c>
      <c r="N27" s="387">
        <v>32.4</v>
      </c>
      <c r="O27" s="387">
        <v>22.9</v>
      </c>
      <c r="P27" s="387">
        <v>28.1</v>
      </c>
      <c r="Q27" s="387">
        <v>52</v>
      </c>
      <c r="R27" s="387">
        <v>26.3</v>
      </c>
      <c r="S27" s="387">
        <v>2.6</v>
      </c>
      <c r="T27" s="387" t="s">
        <v>162</v>
      </c>
      <c r="U27" s="387" t="s">
        <v>261</v>
      </c>
      <c r="V27" s="387">
        <v>2.5</v>
      </c>
      <c r="W27" s="387">
        <v>2.1</v>
      </c>
      <c r="X27" s="387" t="s">
        <v>262</v>
      </c>
      <c r="Y27" s="387">
        <v>26</v>
      </c>
      <c r="Z27" s="387">
        <v>2.5</v>
      </c>
      <c r="AA27" s="387" t="s">
        <v>262</v>
      </c>
      <c r="AB27" s="387">
        <v>20</v>
      </c>
      <c r="AC27" s="387">
        <v>58</v>
      </c>
      <c r="AD27" s="387">
        <v>104</v>
      </c>
      <c r="AE27" s="387">
        <v>914.5</v>
      </c>
      <c r="AF27" s="387">
        <v>901.3</v>
      </c>
      <c r="AG27" s="387">
        <v>143</v>
      </c>
      <c r="AH27" s="387" t="s">
        <v>116</v>
      </c>
      <c r="AI27" s="387">
        <v>-3</v>
      </c>
      <c r="AJ27" s="387">
        <v>166</v>
      </c>
      <c r="AK27" s="387" t="s">
        <v>263</v>
      </c>
      <c r="AL27" s="387">
        <v>-1.7</v>
      </c>
      <c r="AM27" s="387">
        <v>38.4</v>
      </c>
      <c r="AN27" s="389">
        <v>-26</v>
      </c>
    </row>
    <row r="28" s="299" customFormat="1" ht="20.2" customHeight="1" spans="1:40">
      <c r="A28" s="368" t="s">
        <v>264</v>
      </c>
      <c r="B28" s="393">
        <v>1</v>
      </c>
      <c r="C28" s="394" t="s">
        <v>265</v>
      </c>
      <c r="D28" s="393" t="s">
        <v>266</v>
      </c>
      <c r="E28" s="393" t="s">
        <v>267</v>
      </c>
      <c r="F28" s="393" t="s">
        <v>268</v>
      </c>
      <c r="G28" s="393">
        <v>1063</v>
      </c>
      <c r="H28" s="393" t="s">
        <v>47</v>
      </c>
      <c r="I28" s="393">
        <v>6.7</v>
      </c>
      <c r="J28" s="393">
        <v>-17</v>
      </c>
      <c r="K28" s="393">
        <v>-11.6</v>
      </c>
      <c r="L28" s="393">
        <v>-20.3</v>
      </c>
      <c r="M28" s="393">
        <v>58</v>
      </c>
      <c r="N28" s="393">
        <v>30.6</v>
      </c>
      <c r="O28" s="393">
        <v>21</v>
      </c>
      <c r="P28" s="393">
        <v>26.5</v>
      </c>
      <c r="Q28" s="393">
        <v>48</v>
      </c>
      <c r="R28" s="393">
        <v>25.9</v>
      </c>
      <c r="S28" s="393">
        <v>1.8</v>
      </c>
      <c r="T28" s="393" t="s">
        <v>48</v>
      </c>
      <c r="U28" s="393" t="s">
        <v>269</v>
      </c>
      <c r="V28" s="393">
        <v>3.4</v>
      </c>
      <c r="W28" s="393">
        <v>1.5</v>
      </c>
      <c r="X28" s="393" t="s">
        <v>202</v>
      </c>
      <c r="Y28" s="393" t="s">
        <v>270</v>
      </c>
      <c r="Z28" s="393">
        <v>4.2</v>
      </c>
      <c r="AA28" s="393" t="s">
        <v>202</v>
      </c>
      <c r="AB28" s="393" t="s">
        <v>271</v>
      </c>
      <c r="AC28" s="393">
        <v>63</v>
      </c>
      <c r="AD28" s="393">
        <v>156</v>
      </c>
      <c r="AE28" s="393">
        <v>901.2</v>
      </c>
      <c r="AF28" s="393">
        <v>889.6</v>
      </c>
      <c r="AG28" s="393">
        <v>167</v>
      </c>
      <c r="AH28" s="393" t="s">
        <v>272</v>
      </c>
      <c r="AI28" s="393">
        <v>-5.3</v>
      </c>
      <c r="AJ28" s="393">
        <v>184</v>
      </c>
      <c r="AK28" s="393" t="s">
        <v>273</v>
      </c>
      <c r="AL28" s="393">
        <v>-4.1</v>
      </c>
      <c r="AM28" s="393">
        <v>38.5</v>
      </c>
      <c r="AN28" s="395">
        <v>-30.5</v>
      </c>
    </row>
    <row r="29" ht="20.2" customHeight="1" spans="1:40">
      <c r="A29" s="372"/>
      <c r="B29" s="361">
        <v>2</v>
      </c>
      <c r="C29" s="357" t="s">
        <v>274</v>
      </c>
      <c r="D29" s="358" t="s">
        <v>275</v>
      </c>
      <c r="E29" s="257" t="s">
        <v>276</v>
      </c>
      <c r="F29" s="257" t="s">
        <v>277</v>
      </c>
      <c r="G29" s="257">
        <v>1067.2</v>
      </c>
      <c r="H29" s="257" t="s">
        <v>47</v>
      </c>
      <c r="I29" s="257">
        <v>7.2</v>
      </c>
      <c r="J29" s="257">
        <v>-16.6</v>
      </c>
      <c r="K29" s="257">
        <v>-11.1</v>
      </c>
      <c r="L29" s="257">
        <v>-19.7</v>
      </c>
      <c r="M29" s="257">
        <v>55</v>
      </c>
      <c r="N29" s="257">
        <v>31.7</v>
      </c>
      <c r="O29" s="257">
        <v>20.9</v>
      </c>
      <c r="P29" s="257">
        <v>27.4</v>
      </c>
      <c r="Q29" s="257">
        <v>43</v>
      </c>
      <c r="R29" s="257">
        <v>26.5</v>
      </c>
      <c r="S29" s="257">
        <v>2.6</v>
      </c>
      <c r="T29" s="257" t="s">
        <v>278</v>
      </c>
      <c r="U29" s="257" t="s">
        <v>91</v>
      </c>
      <c r="V29" s="257">
        <v>2.9</v>
      </c>
      <c r="W29" s="257">
        <v>2.4</v>
      </c>
      <c r="X29" s="257" t="s">
        <v>123</v>
      </c>
      <c r="Y29" s="257">
        <v>21</v>
      </c>
      <c r="Z29" s="257">
        <v>3.4</v>
      </c>
      <c r="AA29" s="257" t="s">
        <v>123</v>
      </c>
      <c r="AB29" s="257">
        <v>16</v>
      </c>
      <c r="AC29" s="257">
        <v>68</v>
      </c>
      <c r="AD29" s="257">
        <v>157</v>
      </c>
      <c r="AE29" s="257">
        <v>901.2</v>
      </c>
      <c r="AF29" s="257">
        <v>889.1</v>
      </c>
      <c r="AG29" s="257">
        <v>164</v>
      </c>
      <c r="AH29" s="257" t="s">
        <v>279</v>
      </c>
      <c r="AI29" s="257">
        <v>-5.1</v>
      </c>
      <c r="AJ29" s="257">
        <v>182</v>
      </c>
      <c r="AK29" s="257" t="s">
        <v>280</v>
      </c>
      <c r="AL29" s="257">
        <v>-3.9</v>
      </c>
      <c r="AM29" s="257">
        <v>39.2</v>
      </c>
      <c r="AN29" s="270">
        <v>-31.4</v>
      </c>
    </row>
    <row r="30" s="298" customFormat="1" ht="20.2" customHeight="1" spans="1:40">
      <c r="A30" s="372"/>
      <c r="B30" s="361">
        <v>3</v>
      </c>
      <c r="C30" s="357" t="s">
        <v>281</v>
      </c>
      <c r="D30" s="358" t="s">
        <v>282</v>
      </c>
      <c r="E30" s="390" t="s">
        <v>283</v>
      </c>
      <c r="F30" s="390" t="s">
        <v>284</v>
      </c>
      <c r="G30" s="390">
        <v>568</v>
      </c>
      <c r="H30" s="390" t="s">
        <v>47</v>
      </c>
      <c r="I30" s="390">
        <v>7.5</v>
      </c>
      <c r="J30" s="390">
        <v>-16.2</v>
      </c>
      <c r="K30" s="390">
        <v>-10.7</v>
      </c>
      <c r="L30" s="390">
        <v>-18.8</v>
      </c>
      <c r="M30" s="390">
        <v>43</v>
      </c>
      <c r="N30" s="390">
        <v>32.7</v>
      </c>
      <c r="O30" s="390">
        <v>22.6</v>
      </c>
      <c r="P30" s="390">
        <v>28</v>
      </c>
      <c r="Q30" s="390">
        <v>50</v>
      </c>
      <c r="R30" s="390">
        <v>27.4</v>
      </c>
      <c r="S30" s="390">
        <v>2.2</v>
      </c>
      <c r="T30" s="390" t="s">
        <v>285</v>
      </c>
      <c r="U30" s="390" t="s">
        <v>286</v>
      </c>
      <c r="V30" s="390">
        <v>2.5</v>
      </c>
      <c r="W30" s="390">
        <v>2.3</v>
      </c>
      <c r="X30" s="390" t="s">
        <v>287</v>
      </c>
      <c r="Y30" s="390" t="s">
        <v>247</v>
      </c>
      <c r="Z30" s="390">
        <v>3.1</v>
      </c>
      <c r="AA30" s="390" t="s">
        <v>288</v>
      </c>
      <c r="AB30" s="390" t="s">
        <v>289</v>
      </c>
      <c r="AC30" s="390">
        <v>70</v>
      </c>
      <c r="AD30" s="390">
        <v>201</v>
      </c>
      <c r="AE30" s="390">
        <v>955.1</v>
      </c>
      <c r="AF30" s="390">
        <v>941.1</v>
      </c>
      <c r="AG30" s="390">
        <v>161</v>
      </c>
      <c r="AH30" s="390" t="s">
        <v>290</v>
      </c>
      <c r="AI30" s="390">
        <v>-5</v>
      </c>
      <c r="AJ30" s="390">
        <v>179</v>
      </c>
      <c r="AK30" s="390" t="s">
        <v>291</v>
      </c>
      <c r="AL30" s="390">
        <v>-3.8</v>
      </c>
      <c r="AM30" s="390">
        <v>40.4</v>
      </c>
      <c r="AN30" s="391">
        <v>-28.8</v>
      </c>
    </row>
    <row r="31" ht="20.2" customHeight="1" spans="1:40">
      <c r="A31" s="372"/>
      <c r="B31" s="361">
        <v>4</v>
      </c>
      <c r="C31" s="357" t="s">
        <v>292</v>
      </c>
      <c r="D31" s="358" t="s">
        <v>293</v>
      </c>
      <c r="E31" s="257" t="s">
        <v>294</v>
      </c>
      <c r="F31" s="257" t="s">
        <v>295</v>
      </c>
      <c r="G31" s="257">
        <v>178.5</v>
      </c>
      <c r="H31" s="257" t="s">
        <v>47</v>
      </c>
      <c r="I31" s="257">
        <v>6.6</v>
      </c>
      <c r="J31" s="257">
        <v>-19</v>
      </c>
      <c r="K31" s="257">
        <v>-13.5</v>
      </c>
      <c r="L31" s="257">
        <v>-21.8</v>
      </c>
      <c r="M31" s="257">
        <v>54</v>
      </c>
      <c r="N31" s="257">
        <v>32.3</v>
      </c>
      <c r="O31" s="257">
        <v>24.5</v>
      </c>
      <c r="P31" s="257">
        <v>28.2</v>
      </c>
      <c r="Q31" s="257">
        <v>57</v>
      </c>
      <c r="R31" s="257">
        <v>27.3</v>
      </c>
      <c r="S31" s="257">
        <v>3.5</v>
      </c>
      <c r="T31" s="257" t="s">
        <v>296</v>
      </c>
      <c r="U31" s="257">
        <v>17</v>
      </c>
      <c r="V31" s="257">
        <v>4.6</v>
      </c>
      <c r="W31" s="257">
        <v>3.7</v>
      </c>
      <c r="X31" s="257" t="s">
        <v>297</v>
      </c>
      <c r="Y31" s="257">
        <v>16</v>
      </c>
      <c r="Z31" s="257">
        <v>4.4</v>
      </c>
      <c r="AA31" s="257" t="s">
        <v>296</v>
      </c>
      <c r="AB31" s="257">
        <v>11</v>
      </c>
      <c r="AC31" s="257">
        <v>76</v>
      </c>
      <c r="AD31" s="257">
        <v>179</v>
      </c>
      <c r="AE31" s="257">
        <v>1002.6</v>
      </c>
      <c r="AF31" s="257">
        <v>984.4</v>
      </c>
      <c r="AG31" s="257">
        <v>166</v>
      </c>
      <c r="AH31" s="257" t="s">
        <v>137</v>
      </c>
      <c r="AI31" s="257">
        <v>-6.7</v>
      </c>
      <c r="AJ31" s="257">
        <v>184</v>
      </c>
      <c r="AK31" s="257" t="s">
        <v>298</v>
      </c>
      <c r="AL31" s="257">
        <v>-5.4</v>
      </c>
      <c r="AM31" s="257">
        <v>38.9</v>
      </c>
      <c r="AN31" s="270">
        <v>-31.6</v>
      </c>
    </row>
    <row r="32" ht="20.2" customHeight="1" spans="1:40">
      <c r="A32" s="372"/>
      <c r="B32" s="361">
        <v>5</v>
      </c>
      <c r="C32" s="357" t="s">
        <v>299</v>
      </c>
      <c r="D32" s="358" t="s">
        <v>300</v>
      </c>
      <c r="E32" s="257" t="s">
        <v>301</v>
      </c>
      <c r="F32" s="257" t="s">
        <v>302</v>
      </c>
      <c r="G32" s="257">
        <v>1460.4</v>
      </c>
      <c r="H32" s="257" t="s">
        <v>47</v>
      </c>
      <c r="I32" s="257">
        <v>6.2</v>
      </c>
      <c r="J32" s="257">
        <v>-16.8</v>
      </c>
      <c r="K32" s="257">
        <v>-10.5</v>
      </c>
      <c r="L32" s="257">
        <v>-19.6</v>
      </c>
      <c r="M32" s="257">
        <v>52</v>
      </c>
      <c r="N32" s="257">
        <v>29.1</v>
      </c>
      <c r="O32" s="257">
        <v>19</v>
      </c>
      <c r="P32" s="257">
        <v>24.8</v>
      </c>
      <c r="Q32" s="257">
        <v>43</v>
      </c>
      <c r="R32" s="257">
        <v>24.6</v>
      </c>
      <c r="S32" s="257">
        <v>3.1</v>
      </c>
      <c r="T32" s="257" t="s">
        <v>296</v>
      </c>
      <c r="U32" s="257">
        <v>19</v>
      </c>
      <c r="V32" s="257">
        <v>3.7</v>
      </c>
      <c r="W32" s="257">
        <v>2.9</v>
      </c>
      <c r="X32" s="257" t="s">
        <v>296</v>
      </c>
      <c r="Y32" s="257">
        <v>14</v>
      </c>
      <c r="Z32" s="257">
        <v>3.1</v>
      </c>
      <c r="AA32" s="257" t="s">
        <v>296</v>
      </c>
      <c r="AB32" s="257">
        <v>17</v>
      </c>
      <c r="AC32" s="257">
        <v>73</v>
      </c>
      <c r="AD32" s="257">
        <v>150</v>
      </c>
      <c r="AE32" s="257">
        <v>856.7</v>
      </c>
      <c r="AF32" s="257">
        <v>849.5</v>
      </c>
      <c r="AG32" s="257">
        <v>168</v>
      </c>
      <c r="AH32" s="257" t="s">
        <v>125</v>
      </c>
      <c r="AI32" s="257">
        <v>-4.9</v>
      </c>
      <c r="AJ32" s="257">
        <v>189</v>
      </c>
      <c r="AK32" s="257" t="s">
        <v>303</v>
      </c>
      <c r="AL32" s="257">
        <v>-3.6</v>
      </c>
      <c r="AM32" s="257">
        <v>35.3</v>
      </c>
      <c r="AN32" s="270">
        <v>-28.4</v>
      </c>
    </row>
    <row r="33" ht="20.2" customHeight="1" spans="1:40">
      <c r="A33" s="372"/>
      <c r="B33" s="375">
        <v>6</v>
      </c>
      <c r="C33" s="396" t="s">
        <v>304</v>
      </c>
      <c r="D33" s="358" t="s">
        <v>305</v>
      </c>
      <c r="E33" s="257" t="s">
        <v>306</v>
      </c>
      <c r="F33" s="257" t="s">
        <v>307</v>
      </c>
      <c r="G33" s="257">
        <v>661.7</v>
      </c>
      <c r="H33" s="257" t="s">
        <v>47</v>
      </c>
      <c r="I33" s="261">
        <v>-0.7</v>
      </c>
      <c r="J33" s="257">
        <v>-28.6</v>
      </c>
      <c r="K33" s="257">
        <v>-23.3</v>
      </c>
      <c r="L33" s="257">
        <v>-31.6</v>
      </c>
      <c r="M33" s="257">
        <v>75</v>
      </c>
      <c r="N33" s="257">
        <v>29</v>
      </c>
      <c r="O33" s="257">
        <v>19.9</v>
      </c>
      <c r="P33" s="257">
        <v>24.1</v>
      </c>
      <c r="Q33" s="257">
        <v>52</v>
      </c>
      <c r="R33" s="257">
        <v>23.6</v>
      </c>
      <c r="S33" s="257">
        <v>3.8</v>
      </c>
      <c r="T33" s="257" t="s">
        <v>237</v>
      </c>
      <c r="U33" s="257" t="s">
        <v>308</v>
      </c>
      <c r="V33" s="257">
        <v>4.4</v>
      </c>
      <c r="W33" s="257">
        <v>3.7</v>
      </c>
      <c r="X33" s="257" t="s">
        <v>309</v>
      </c>
      <c r="Y33" s="257">
        <v>23</v>
      </c>
      <c r="Z33" s="257">
        <v>3.9</v>
      </c>
      <c r="AA33" s="257" t="s">
        <v>309</v>
      </c>
      <c r="AB33" s="257">
        <v>13</v>
      </c>
      <c r="AC33" s="257">
        <v>70</v>
      </c>
      <c r="AD33" s="257">
        <v>389</v>
      </c>
      <c r="AE33" s="257">
        <v>941.9</v>
      </c>
      <c r="AF33" s="257">
        <v>930.3</v>
      </c>
      <c r="AG33" s="257">
        <v>210</v>
      </c>
      <c r="AH33" s="257" t="s">
        <v>310</v>
      </c>
      <c r="AI33" s="257">
        <v>-12.4</v>
      </c>
      <c r="AJ33" s="257">
        <v>229</v>
      </c>
      <c r="AK33" s="257" t="s">
        <v>311</v>
      </c>
      <c r="AL33" s="257">
        <v>-10.8</v>
      </c>
      <c r="AM33" s="257">
        <v>37.9</v>
      </c>
      <c r="AN33" s="270">
        <v>-40.5</v>
      </c>
    </row>
    <row r="34" ht="20.2" customHeight="1" spans="1:40">
      <c r="A34" s="372"/>
      <c r="B34" s="361">
        <v>7</v>
      </c>
      <c r="C34" s="397"/>
      <c r="D34" s="358" t="s">
        <v>312</v>
      </c>
      <c r="E34" s="257" t="s">
        <v>313</v>
      </c>
      <c r="F34" s="257" t="s">
        <v>314</v>
      </c>
      <c r="G34" s="257">
        <v>610.2</v>
      </c>
      <c r="H34" s="257" t="s">
        <v>47</v>
      </c>
      <c r="I34" s="261">
        <v>-1</v>
      </c>
      <c r="J34" s="257">
        <v>-31.6</v>
      </c>
      <c r="K34" s="257">
        <v>-25.1</v>
      </c>
      <c r="L34" s="257">
        <v>-34.5</v>
      </c>
      <c r="M34" s="257">
        <v>79</v>
      </c>
      <c r="N34" s="257">
        <v>29</v>
      </c>
      <c r="O34" s="257">
        <v>20.5</v>
      </c>
      <c r="P34" s="257">
        <v>24.3</v>
      </c>
      <c r="Q34" s="257">
        <v>54</v>
      </c>
      <c r="R34" s="257">
        <v>23.5</v>
      </c>
      <c r="S34" s="257">
        <v>3</v>
      </c>
      <c r="T34" s="257" t="s">
        <v>104</v>
      </c>
      <c r="U34" s="257" t="s">
        <v>315</v>
      </c>
      <c r="V34" s="257">
        <v>3.1</v>
      </c>
      <c r="W34" s="257">
        <v>2.3</v>
      </c>
      <c r="X34" s="257" t="s">
        <v>104</v>
      </c>
      <c r="Y34" s="257" t="s">
        <v>316</v>
      </c>
      <c r="Z34" s="257">
        <v>2.5</v>
      </c>
      <c r="AA34" s="257" t="s">
        <v>104</v>
      </c>
      <c r="AB34" s="257" t="s">
        <v>317</v>
      </c>
      <c r="AC34" s="257">
        <v>62</v>
      </c>
      <c r="AD34" s="257">
        <v>242</v>
      </c>
      <c r="AE34" s="257">
        <v>947.9</v>
      </c>
      <c r="AF34" s="257">
        <v>935.7</v>
      </c>
      <c r="AG34" s="257">
        <v>208</v>
      </c>
      <c r="AH34" s="257" t="s">
        <v>232</v>
      </c>
      <c r="AI34" s="257">
        <v>-12.7</v>
      </c>
      <c r="AJ34" s="257">
        <v>227</v>
      </c>
      <c r="AK34" s="257" t="s">
        <v>318</v>
      </c>
      <c r="AL34" s="257">
        <v>-11</v>
      </c>
      <c r="AM34" s="257">
        <v>36.6</v>
      </c>
      <c r="AN34" s="270">
        <v>-42.3</v>
      </c>
    </row>
    <row r="35" ht="20.2" customHeight="1" spans="1:40">
      <c r="A35" s="372"/>
      <c r="B35" s="361">
        <v>8</v>
      </c>
      <c r="C35" s="357" t="s">
        <v>319</v>
      </c>
      <c r="D35" s="358" t="s">
        <v>320</v>
      </c>
      <c r="E35" s="257" t="s">
        <v>321</v>
      </c>
      <c r="F35" s="257" t="s">
        <v>322</v>
      </c>
      <c r="G35" s="257">
        <v>1039.3</v>
      </c>
      <c r="H35" s="257" t="s">
        <v>47</v>
      </c>
      <c r="I35" s="261">
        <v>8.1</v>
      </c>
      <c r="J35" s="257">
        <v>-15.3</v>
      </c>
      <c r="K35" s="257">
        <v>-9.9</v>
      </c>
      <c r="L35" s="257">
        <v>-19.1</v>
      </c>
      <c r="M35" s="257">
        <v>51</v>
      </c>
      <c r="N35" s="257">
        <v>32.7</v>
      </c>
      <c r="O35" s="257">
        <v>20.9</v>
      </c>
      <c r="P35" s="257">
        <v>28.4</v>
      </c>
      <c r="Q35" s="257">
        <v>39</v>
      </c>
      <c r="R35" s="257">
        <v>27.5</v>
      </c>
      <c r="S35" s="257">
        <v>2.1</v>
      </c>
      <c r="T35" s="257" t="s">
        <v>237</v>
      </c>
      <c r="U35" s="257" t="s">
        <v>323</v>
      </c>
      <c r="V35" s="257">
        <v>2.5</v>
      </c>
      <c r="W35" s="257">
        <v>2</v>
      </c>
      <c r="X35" s="257" t="s">
        <v>288</v>
      </c>
      <c r="Y35" s="257" t="s">
        <v>324</v>
      </c>
      <c r="Z35" s="257">
        <v>3.4</v>
      </c>
      <c r="AA35" s="257" t="s">
        <v>288</v>
      </c>
      <c r="AB35" s="257" t="s">
        <v>325</v>
      </c>
      <c r="AC35" s="257">
        <v>72</v>
      </c>
      <c r="AD35" s="257">
        <v>138</v>
      </c>
      <c r="AE35" s="257">
        <v>903.9</v>
      </c>
      <c r="AF35" s="257">
        <v>891.1</v>
      </c>
      <c r="AG35" s="257">
        <v>157</v>
      </c>
      <c r="AH35" s="257" t="s">
        <v>326</v>
      </c>
      <c r="AI35" s="257">
        <v>-4.4</v>
      </c>
      <c r="AJ35" s="257">
        <v>175</v>
      </c>
      <c r="AK35" s="257" t="s">
        <v>327</v>
      </c>
      <c r="AL35" s="257">
        <v>-3.3</v>
      </c>
      <c r="AM35" s="257">
        <v>39.4</v>
      </c>
      <c r="AN35" s="270">
        <v>-35.3</v>
      </c>
    </row>
    <row r="36" s="298" customFormat="1" ht="20.2" customHeight="1" spans="1:40">
      <c r="A36" s="372"/>
      <c r="B36" s="361">
        <v>9</v>
      </c>
      <c r="C36" s="357" t="s">
        <v>328</v>
      </c>
      <c r="D36" s="358" t="s">
        <v>329</v>
      </c>
      <c r="E36" s="390" t="s">
        <v>330</v>
      </c>
      <c r="F36" s="390" t="s">
        <v>331</v>
      </c>
      <c r="G36" s="390">
        <v>1419.3</v>
      </c>
      <c r="H36" s="390" t="s">
        <v>47</v>
      </c>
      <c r="I36" s="398">
        <v>4.3</v>
      </c>
      <c r="J36" s="390">
        <v>-18.9</v>
      </c>
      <c r="K36" s="390">
        <v>-13</v>
      </c>
      <c r="L36" s="390">
        <v>-21.9</v>
      </c>
      <c r="M36" s="390">
        <v>55</v>
      </c>
      <c r="N36" s="390">
        <v>28.2</v>
      </c>
      <c r="O36" s="390">
        <v>18.9</v>
      </c>
      <c r="P36" s="390">
        <v>23.8</v>
      </c>
      <c r="Q36" s="390">
        <v>49</v>
      </c>
      <c r="R36" s="390">
        <v>22.9</v>
      </c>
      <c r="S36" s="390">
        <v>2.4</v>
      </c>
      <c r="T36" s="390" t="s">
        <v>144</v>
      </c>
      <c r="U36" s="390" t="s">
        <v>332</v>
      </c>
      <c r="V36" s="390">
        <v>3.6</v>
      </c>
      <c r="W36" s="390">
        <v>3</v>
      </c>
      <c r="X36" s="390" t="s">
        <v>144</v>
      </c>
      <c r="Y36" s="390" t="s">
        <v>333</v>
      </c>
      <c r="Z36" s="390">
        <v>4.9</v>
      </c>
      <c r="AA36" s="390" t="s">
        <v>144</v>
      </c>
      <c r="AB36" s="390" t="s">
        <v>334</v>
      </c>
      <c r="AC36" s="390">
        <v>72</v>
      </c>
      <c r="AD36" s="390">
        <v>184</v>
      </c>
      <c r="AE36" s="390">
        <v>860.2</v>
      </c>
      <c r="AF36" s="390">
        <v>853.7</v>
      </c>
      <c r="AG36" s="390">
        <v>181</v>
      </c>
      <c r="AH36" s="390" t="s">
        <v>335</v>
      </c>
      <c r="AI36" s="390">
        <v>-6.4</v>
      </c>
      <c r="AJ36" s="390">
        <v>206</v>
      </c>
      <c r="AK36" s="390" t="s">
        <v>336</v>
      </c>
      <c r="AL36" s="390">
        <v>-4.7</v>
      </c>
      <c r="AM36" s="390">
        <v>33.6</v>
      </c>
      <c r="AN36" s="391">
        <v>-32.4</v>
      </c>
    </row>
    <row r="37" ht="20.2" customHeight="1" spans="1:40">
      <c r="A37" s="372"/>
      <c r="B37" s="361">
        <v>10</v>
      </c>
      <c r="C37" s="357" t="s">
        <v>337</v>
      </c>
      <c r="D37" s="358" t="s">
        <v>338</v>
      </c>
      <c r="E37" s="257" t="s">
        <v>339</v>
      </c>
      <c r="F37" s="257" t="s">
        <v>340</v>
      </c>
      <c r="G37" s="257">
        <v>274.7</v>
      </c>
      <c r="H37" s="257" t="s">
        <v>47</v>
      </c>
      <c r="I37" s="257">
        <v>5</v>
      </c>
      <c r="J37" s="257">
        <v>-20.5</v>
      </c>
      <c r="K37" s="257">
        <v>-15</v>
      </c>
      <c r="L37" s="257">
        <v>-23.5</v>
      </c>
      <c r="M37" s="257">
        <v>54</v>
      </c>
      <c r="N37" s="257">
        <v>31.8</v>
      </c>
      <c r="O37" s="257">
        <v>23</v>
      </c>
      <c r="P37" s="257">
        <v>27.1</v>
      </c>
      <c r="Q37" s="257">
        <v>55</v>
      </c>
      <c r="R37" s="257">
        <v>26.6</v>
      </c>
      <c r="S37" s="257">
        <v>2.6</v>
      </c>
      <c r="T37" s="257" t="s">
        <v>341</v>
      </c>
      <c r="U37" s="257" t="s">
        <v>342</v>
      </c>
      <c r="V37" s="257">
        <v>3.9</v>
      </c>
      <c r="W37" s="257">
        <v>2.6</v>
      </c>
      <c r="X37" s="257" t="s">
        <v>134</v>
      </c>
      <c r="Y37" s="257" t="s">
        <v>343</v>
      </c>
      <c r="Z37" s="257">
        <v>4</v>
      </c>
      <c r="AA37" s="257" t="s">
        <v>134</v>
      </c>
      <c r="AB37" s="257" t="s">
        <v>93</v>
      </c>
      <c r="AC37" s="257">
        <v>69</v>
      </c>
      <c r="AD37" s="257">
        <v>249</v>
      </c>
      <c r="AE37" s="257">
        <v>989.1</v>
      </c>
      <c r="AF37" s="257">
        <v>973.3</v>
      </c>
      <c r="AG37" s="257">
        <v>176</v>
      </c>
      <c r="AH37" s="257" t="s">
        <v>344</v>
      </c>
      <c r="AI37" s="257">
        <v>-7.8</v>
      </c>
      <c r="AJ37" s="257">
        <v>193</v>
      </c>
      <c r="AK37" s="257" t="s">
        <v>345</v>
      </c>
      <c r="AL37" s="257">
        <v>-6.5</v>
      </c>
      <c r="AM37" s="257">
        <v>40.3</v>
      </c>
      <c r="AN37" s="270">
        <v>-33.7</v>
      </c>
    </row>
    <row r="38" s="298" customFormat="1" ht="20.2" customHeight="1" spans="1:40">
      <c r="A38" s="372"/>
      <c r="B38" s="361">
        <v>11</v>
      </c>
      <c r="C38" s="396" t="s">
        <v>346</v>
      </c>
      <c r="D38" s="358" t="s">
        <v>347</v>
      </c>
      <c r="E38" s="390" t="s">
        <v>348</v>
      </c>
      <c r="F38" s="390" t="s">
        <v>349</v>
      </c>
      <c r="G38" s="390">
        <v>964.7</v>
      </c>
      <c r="H38" s="390" t="s">
        <v>47</v>
      </c>
      <c r="I38" s="390">
        <v>4</v>
      </c>
      <c r="J38" s="390">
        <v>-24.3</v>
      </c>
      <c r="K38" s="390">
        <v>-18.1</v>
      </c>
      <c r="L38" s="390">
        <v>-27.8</v>
      </c>
      <c r="M38" s="390">
        <v>69</v>
      </c>
      <c r="N38" s="390">
        <v>33.2</v>
      </c>
      <c r="O38" s="390">
        <v>19.3</v>
      </c>
      <c r="P38" s="390">
        <v>27.9</v>
      </c>
      <c r="Q38" s="390">
        <v>33</v>
      </c>
      <c r="R38" s="390">
        <v>27.5</v>
      </c>
      <c r="S38" s="390">
        <v>4</v>
      </c>
      <c r="T38" s="390" t="s">
        <v>297</v>
      </c>
      <c r="U38" s="390">
        <v>8</v>
      </c>
      <c r="V38" s="390">
        <v>5.2</v>
      </c>
      <c r="W38" s="390">
        <v>3.6</v>
      </c>
      <c r="X38" s="390" t="s">
        <v>297</v>
      </c>
      <c r="Y38" s="390">
        <v>16</v>
      </c>
      <c r="Z38" s="390">
        <v>5.3</v>
      </c>
      <c r="AA38" s="390" t="s">
        <v>297</v>
      </c>
      <c r="AB38" s="390">
        <v>13</v>
      </c>
      <c r="AC38" s="390">
        <v>76</v>
      </c>
      <c r="AD38" s="390">
        <v>310</v>
      </c>
      <c r="AE38" s="390">
        <v>910.5</v>
      </c>
      <c r="AF38" s="390">
        <v>898.3</v>
      </c>
      <c r="AG38" s="390">
        <v>181</v>
      </c>
      <c r="AH38" s="390" t="s">
        <v>350</v>
      </c>
      <c r="AI38" s="390">
        <v>-9.3</v>
      </c>
      <c r="AJ38" s="390">
        <v>196</v>
      </c>
      <c r="AK38" s="390" t="s">
        <v>351</v>
      </c>
      <c r="AL38" s="390">
        <v>-8.1</v>
      </c>
      <c r="AM38" s="390">
        <v>41.1</v>
      </c>
      <c r="AN38" s="391">
        <v>-37.1</v>
      </c>
    </row>
    <row r="39" s="299" customFormat="1" ht="20.2" customHeight="1" spans="1:40">
      <c r="A39" s="399"/>
      <c r="B39" s="393">
        <v>12</v>
      </c>
      <c r="C39" s="397"/>
      <c r="D39" s="393" t="s">
        <v>352</v>
      </c>
      <c r="E39" s="393" t="s">
        <v>353</v>
      </c>
      <c r="F39" s="393" t="s">
        <v>354</v>
      </c>
      <c r="G39" s="393">
        <v>989.5</v>
      </c>
      <c r="H39" s="393" t="s">
        <v>47</v>
      </c>
      <c r="I39" s="393">
        <v>2.6</v>
      </c>
      <c r="J39" s="393">
        <v>-25.2</v>
      </c>
      <c r="K39" s="393">
        <v>-18.8</v>
      </c>
      <c r="L39" s="393">
        <v>-27.8</v>
      </c>
      <c r="M39" s="393">
        <v>72</v>
      </c>
      <c r="N39" s="393">
        <v>31.1</v>
      </c>
      <c r="O39" s="393">
        <v>19.9</v>
      </c>
      <c r="P39" s="393">
        <v>26</v>
      </c>
      <c r="Q39" s="393">
        <v>44</v>
      </c>
      <c r="R39" s="393">
        <v>25.4</v>
      </c>
      <c r="S39" s="393">
        <v>3.3</v>
      </c>
      <c r="T39" s="393" t="s">
        <v>160</v>
      </c>
      <c r="U39" s="393" t="s">
        <v>355</v>
      </c>
      <c r="V39" s="393">
        <v>3.4</v>
      </c>
      <c r="W39" s="393">
        <v>3.2</v>
      </c>
      <c r="X39" s="393" t="s">
        <v>309</v>
      </c>
      <c r="Y39" s="393">
        <v>19</v>
      </c>
      <c r="Z39" s="393">
        <v>4.3</v>
      </c>
      <c r="AA39" s="393" t="s">
        <v>356</v>
      </c>
      <c r="AB39" s="393" t="s">
        <v>357</v>
      </c>
      <c r="AC39" s="393">
        <v>71</v>
      </c>
      <c r="AD39" s="393">
        <v>265</v>
      </c>
      <c r="AE39" s="393">
        <v>906.4</v>
      </c>
      <c r="AF39" s="393">
        <v>895.9</v>
      </c>
      <c r="AG39" s="393">
        <v>189</v>
      </c>
      <c r="AH39" s="393" t="s">
        <v>303</v>
      </c>
      <c r="AI39" s="393">
        <v>-9.7</v>
      </c>
      <c r="AJ39" s="393">
        <v>209</v>
      </c>
      <c r="AK39" s="393" t="s">
        <v>358</v>
      </c>
      <c r="AL39" s="393">
        <v>-8.1</v>
      </c>
      <c r="AM39" s="393">
        <v>39.2</v>
      </c>
      <c r="AN39" s="395">
        <v>-38</v>
      </c>
    </row>
    <row r="40" s="300" customFormat="1" ht="20.2" customHeight="1" spans="1:40">
      <c r="A40" s="386" t="s">
        <v>359</v>
      </c>
      <c r="B40" s="400">
        <v>1</v>
      </c>
      <c r="C40" s="401" t="s">
        <v>360</v>
      </c>
      <c r="D40" s="402" t="s">
        <v>361</v>
      </c>
      <c r="E40" s="402" t="s">
        <v>362</v>
      </c>
      <c r="F40" s="402" t="s">
        <v>363</v>
      </c>
      <c r="G40" s="402">
        <v>44.7</v>
      </c>
      <c r="H40" s="402" t="s">
        <v>47</v>
      </c>
      <c r="I40" s="402">
        <v>8.4</v>
      </c>
      <c r="J40" s="402">
        <v>-16.9</v>
      </c>
      <c r="K40" s="402">
        <v>-11</v>
      </c>
      <c r="L40" s="402">
        <v>-20.7</v>
      </c>
      <c r="M40" s="402">
        <v>60</v>
      </c>
      <c r="N40" s="402">
        <v>31.5</v>
      </c>
      <c r="O40" s="402">
        <v>25.3</v>
      </c>
      <c r="P40" s="402">
        <v>28.2</v>
      </c>
      <c r="Q40" s="402">
        <v>65</v>
      </c>
      <c r="R40" s="402">
        <v>27.5</v>
      </c>
      <c r="S40" s="402">
        <v>2.6</v>
      </c>
      <c r="T40" s="402" t="s">
        <v>153</v>
      </c>
      <c r="U40" s="402">
        <v>16</v>
      </c>
      <c r="V40" s="402">
        <v>3.5</v>
      </c>
      <c r="W40" s="402">
        <v>2.6</v>
      </c>
      <c r="X40" s="402" t="s">
        <v>188</v>
      </c>
      <c r="Y40" s="402" t="s">
        <v>308</v>
      </c>
      <c r="Z40" s="402">
        <v>3.6</v>
      </c>
      <c r="AA40" s="402" t="s">
        <v>153</v>
      </c>
      <c r="AB40" s="402">
        <v>13</v>
      </c>
      <c r="AC40" s="402">
        <v>56</v>
      </c>
      <c r="AD40" s="402">
        <v>148</v>
      </c>
      <c r="AE40" s="402">
        <v>1020.8</v>
      </c>
      <c r="AF40" s="402">
        <v>1000.9</v>
      </c>
      <c r="AG40" s="402">
        <v>152</v>
      </c>
      <c r="AH40" s="402" t="s">
        <v>364</v>
      </c>
      <c r="AI40" s="402">
        <v>-5.1</v>
      </c>
      <c r="AJ40" s="402">
        <v>172</v>
      </c>
      <c r="AK40" s="402" t="s">
        <v>365</v>
      </c>
      <c r="AL40" s="402">
        <v>-3.6</v>
      </c>
      <c r="AM40" s="402">
        <v>36.1</v>
      </c>
      <c r="AN40" s="403">
        <v>-29.4</v>
      </c>
    </row>
    <row r="41" ht="20.2" customHeight="1" spans="1:40">
      <c r="A41" s="239"/>
      <c r="B41" s="255">
        <v>2</v>
      </c>
      <c r="C41" s="253" t="s">
        <v>366</v>
      </c>
      <c r="D41" s="255" t="s">
        <v>367</v>
      </c>
      <c r="E41" s="257" t="s">
        <v>353</v>
      </c>
      <c r="F41" s="257" t="s">
        <v>368</v>
      </c>
      <c r="G41" s="261">
        <v>91.5</v>
      </c>
      <c r="H41" s="261" t="s">
        <v>47</v>
      </c>
      <c r="I41" s="257">
        <v>10.9</v>
      </c>
      <c r="J41" s="257">
        <v>-9.8</v>
      </c>
      <c r="K41" s="257">
        <v>-3.9</v>
      </c>
      <c r="L41" s="257">
        <v>-13</v>
      </c>
      <c r="M41" s="257">
        <v>56</v>
      </c>
      <c r="N41" s="257">
        <v>29</v>
      </c>
      <c r="O41" s="257">
        <v>24.9</v>
      </c>
      <c r="P41" s="257">
        <v>26.3</v>
      </c>
      <c r="Q41" s="257">
        <v>71</v>
      </c>
      <c r="R41" s="257">
        <v>26.5</v>
      </c>
      <c r="S41" s="257">
        <v>4.1</v>
      </c>
      <c r="T41" s="257" t="s">
        <v>296</v>
      </c>
      <c r="U41" s="257">
        <v>19</v>
      </c>
      <c r="V41" s="257">
        <v>4.6</v>
      </c>
      <c r="W41" s="257">
        <v>5.2</v>
      </c>
      <c r="X41" s="257" t="s">
        <v>369</v>
      </c>
      <c r="Y41" s="257">
        <v>24</v>
      </c>
      <c r="Z41" s="257">
        <v>7</v>
      </c>
      <c r="AA41" s="257" t="s">
        <v>369</v>
      </c>
      <c r="AB41" s="257">
        <v>15</v>
      </c>
      <c r="AC41" s="257">
        <v>65</v>
      </c>
      <c r="AD41" s="257">
        <v>90</v>
      </c>
      <c r="AE41" s="257">
        <v>1013.9</v>
      </c>
      <c r="AF41" s="257">
        <v>997.8</v>
      </c>
      <c r="AG41" s="257">
        <v>132</v>
      </c>
      <c r="AH41" s="257" t="s">
        <v>370</v>
      </c>
      <c r="AI41" s="257">
        <v>-0.7</v>
      </c>
      <c r="AJ41" s="257">
        <v>152</v>
      </c>
      <c r="AK41" s="257" t="s">
        <v>371</v>
      </c>
      <c r="AL41" s="257">
        <v>0.3</v>
      </c>
      <c r="AM41" s="257">
        <v>35.3</v>
      </c>
      <c r="AN41" s="270">
        <v>-18.8</v>
      </c>
    </row>
    <row r="42" ht="20.2" customHeight="1" spans="1:40">
      <c r="A42" s="239"/>
      <c r="B42" s="255">
        <v>3</v>
      </c>
      <c r="C42" s="253" t="s">
        <v>372</v>
      </c>
      <c r="D42" s="255" t="s">
        <v>373</v>
      </c>
      <c r="E42" s="257" t="s">
        <v>374</v>
      </c>
      <c r="F42" s="257" t="s">
        <v>375</v>
      </c>
      <c r="G42" s="261">
        <v>77.3</v>
      </c>
      <c r="H42" s="261" t="s">
        <v>47</v>
      </c>
      <c r="I42" s="257">
        <v>9.6</v>
      </c>
      <c r="J42" s="257">
        <v>-15.1</v>
      </c>
      <c r="K42" s="257">
        <v>-8.6</v>
      </c>
      <c r="L42" s="257">
        <v>-18</v>
      </c>
      <c r="M42" s="257">
        <v>54</v>
      </c>
      <c r="N42" s="257">
        <v>31.6</v>
      </c>
      <c r="O42" s="257">
        <v>25.1</v>
      </c>
      <c r="P42" s="257">
        <v>28.2</v>
      </c>
      <c r="Q42" s="257">
        <v>63</v>
      </c>
      <c r="R42" s="257">
        <v>28.1</v>
      </c>
      <c r="S42" s="257">
        <v>2.7</v>
      </c>
      <c r="T42" s="257" t="s">
        <v>153</v>
      </c>
      <c r="U42" s="257">
        <v>13</v>
      </c>
      <c r="V42" s="257">
        <v>3.6</v>
      </c>
      <c r="W42" s="257">
        <v>2.9</v>
      </c>
      <c r="X42" s="257" t="s">
        <v>262</v>
      </c>
      <c r="Y42" s="257">
        <v>14</v>
      </c>
      <c r="Z42" s="257">
        <v>3.5</v>
      </c>
      <c r="AA42" s="257" t="s">
        <v>153</v>
      </c>
      <c r="AB42" s="257">
        <v>12</v>
      </c>
      <c r="AC42" s="257">
        <v>60</v>
      </c>
      <c r="AD42" s="257">
        <v>118</v>
      </c>
      <c r="AE42" s="257">
        <v>1018.5</v>
      </c>
      <c r="AF42" s="257">
        <v>998.8</v>
      </c>
      <c r="AG42" s="257">
        <v>143</v>
      </c>
      <c r="AH42" s="257" t="s">
        <v>223</v>
      </c>
      <c r="AI42" s="257">
        <v>-3.8</v>
      </c>
      <c r="AJ42" s="257">
        <v>163</v>
      </c>
      <c r="AK42" s="257" t="s">
        <v>376</v>
      </c>
      <c r="AL42" s="257">
        <v>-2.5</v>
      </c>
      <c r="AM42" s="257">
        <v>36.5</v>
      </c>
      <c r="AN42" s="270">
        <v>-26.9</v>
      </c>
    </row>
    <row r="43" s="298" customFormat="1" ht="20.2" customHeight="1" spans="1:40">
      <c r="A43" s="239"/>
      <c r="B43" s="255">
        <v>4</v>
      </c>
      <c r="C43" s="253" t="s">
        <v>377</v>
      </c>
      <c r="D43" s="255" t="s">
        <v>378</v>
      </c>
      <c r="E43" s="390" t="s">
        <v>379</v>
      </c>
      <c r="F43" s="390" t="s">
        <v>380</v>
      </c>
      <c r="G43" s="390">
        <v>118.5</v>
      </c>
      <c r="H43" s="390" t="s">
        <v>47</v>
      </c>
      <c r="I43" s="390">
        <v>6.8</v>
      </c>
      <c r="J43" s="390">
        <v>-20</v>
      </c>
      <c r="K43" s="390">
        <v>-13.5</v>
      </c>
      <c r="L43" s="390">
        <v>-23.8</v>
      </c>
      <c r="M43" s="390">
        <v>68</v>
      </c>
      <c r="N43" s="390">
        <v>31.5</v>
      </c>
      <c r="O43" s="390">
        <v>24.8</v>
      </c>
      <c r="P43" s="390">
        <v>27.8</v>
      </c>
      <c r="Q43" s="390">
        <v>65</v>
      </c>
      <c r="R43" s="390">
        <v>26.6</v>
      </c>
      <c r="S43" s="390">
        <v>2.2</v>
      </c>
      <c r="T43" s="390" t="s">
        <v>341</v>
      </c>
      <c r="U43" s="390" t="s">
        <v>317</v>
      </c>
      <c r="V43" s="390">
        <v>2.2</v>
      </c>
      <c r="W43" s="390">
        <v>2.3</v>
      </c>
      <c r="X43" s="390" t="s">
        <v>381</v>
      </c>
      <c r="Y43" s="390">
        <v>20</v>
      </c>
      <c r="Z43" s="390">
        <v>2.1</v>
      </c>
      <c r="AA43" s="390" t="s">
        <v>262</v>
      </c>
      <c r="AB43" s="390">
        <v>16</v>
      </c>
      <c r="AC43" s="390">
        <v>61</v>
      </c>
      <c r="AD43" s="390">
        <v>143</v>
      </c>
      <c r="AE43" s="390">
        <v>1011</v>
      </c>
      <c r="AF43" s="390">
        <v>992.4</v>
      </c>
      <c r="AG43" s="390">
        <v>161</v>
      </c>
      <c r="AH43" s="390" t="s">
        <v>290</v>
      </c>
      <c r="AI43" s="390">
        <v>-6.3</v>
      </c>
      <c r="AJ43" s="390">
        <v>182</v>
      </c>
      <c r="AK43" s="390" t="s">
        <v>382</v>
      </c>
      <c r="AL43" s="390">
        <v>-4.8</v>
      </c>
      <c r="AM43" s="390">
        <v>37.7</v>
      </c>
      <c r="AN43" s="391">
        <v>-35.9</v>
      </c>
    </row>
    <row r="44" ht="20.2" customHeight="1" spans="1:40">
      <c r="A44" s="239"/>
      <c r="B44" s="255">
        <v>6</v>
      </c>
      <c r="C44" s="253" t="s">
        <v>383</v>
      </c>
      <c r="D44" s="255" t="s">
        <v>384</v>
      </c>
      <c r="E44" s="257" t="s">
        <v>385</v>
      </c>
      <c r="F44" s="257" t="s">
        <v>386</v>
      </c>
      <c r="G44" s="257">
        <v>185.2</v>
      </c>
      <c r="H44" s="257" t="s">
        <v>47</v>
      </c>
      <c r="I44" s="257">
        <v>7.8</v>
      </c>
      <c r="J44" s="257">
        <v>-18.1</v>
      </c>
      <c r="K44" s="257">
        <v>-11.5</v>
      </c>
      <c r="L44" s="257">
        <v>-21.5</v>
      </c>
      <c r="M44" s="257">
        <v>64</v>
      </c>
      <c r="N44" s="257">
        <v>31</v>
      </c>
      <c r="O44" s="257">
        <v>24.3</v>
      </c>
      <c r="P44" s="257">
        <v>27.4</v>
      </c>
      <c r="Q44" s="257">
        <v>63</v>
      </c>
      <c r="R44" s="257">
        <v>27.1</v>
      </c>
      <c r="S44" s="257">
        <v>2.2</v>
      </c>
      <c r="T44" s="257" t="s">
        <v>90</v>
      </c>
      <c r="U44" s="257" t="s">
        <v>122</v>
      </c>
      <c r="V44" s="257">
        <v>2</v>
      </c>
      <c r="W44" s="257">
        <v>2.4</v>
      </c>
      <c r="X44" s="257" t="s">
        <v>387</v>
      </c>
      <c r="Y44" s="257">
        <v>25</v>
      </c>
      <c r="Z44" s="257">
        <v>2.3</v>
      </c>
      <c r="AA44" s="257" t="s">
        <v>387</v>
      </c>
      <c r="AB44" s="257">
        <v>18</v>
      </c>
      <c r="AC44" s="257">
        <v>57</v>
      </c>
      <c r="AD44" s="257">
        <v>149</v>
      </c>
      <c r="AE44" s="257">
        <v>1003.3</v>
      </c>
      <c r="AF44" s="257">
        <v>985.7</v>
      </c>
      <c r="AG44" s="257">
        <v>157</v>
      </c>
      <c r="AH44" s="257" t="s">
        <v>388</v>
      </c>
      <c r="AI44" s="257">
        <v>-5.1</v>
      </c>
      <c r="AJ44" s="257">
        <v>175</v>
      </c>
      <c r="AK44" s="257" t="s">
        <v>389</v>
      </c>
      <c r="AL44" s="257">
        <v>-3.8</v>
      </c>
      <c r="AM44" s="257">
        <v>37.5</v>
      </c>
      <c r="AN44" s="270">
        <v>-33.6</v>
      </c>
    </row>
    <row r="45" ht="20.2" customHeight="1" spans="1:40">
      <c r="A45" s="239"/>
      <c r="B45" s="255">
        <v>7</v>
      </c>
      <c r="C45" s="253" t="s">
        <v>390</v>
      </c>
      <c r="D45" s="255" t="s">
        <v>391</v>
      </c>
      <c r="E45" s="257" t="s">
        <v>392</v>
      </c>
      <c r="F45" s="257" t="s">
        <v>393</v>
      </c>
      <c r="G45" s="257">
        <v>13.8</v>
      </c>
      <c r="H45" s="257" t="s">
        <v>47</v>
      </c>
      <c r="I45" s="257">
        <v>8.9</v>
      </c>
      <c r="J45" s="257">
        <v>-12.9</v>
      </c>
      <c r="K45" s="257">
        <v>-7.4</v>
      </c>
      <c r="L45" s="257">
        <v>-15.9</v>
      </c>
      <c r="M45" s="257">
        <v>55</v>
      </c>
      <c r="N45" s="257">
        <v>29.6</v>
      </c>
      <c r="O45" s="257">
        <v>25.3</v>
      </c>
      <c r="P45" s="257">
        <v>26.8</v>
      </c>
      <c r="Q45" s="257">
        <v>71</v>
      </c>
      <c r="R45" s="257">
        <v>25.9</v>
      </c>
      <c r="S45" s="257">
        <v>2.3</v>
      </c>
      <c r="T45" s="257" t="s">
        <v>130</v>
      </c>
      <c r="U45" s="257" t="s">
        <v>394</v>
      </c>
      <c r="V45" s="257">
        <v>3.2</v>
      </c>
      <c r="W45" s="257">
        <v>3.4</v>
      </c>
      <c r="X45" s="257" t="s">
        <v>123</v>
      </c>
      <c r="Y45" s="257">
        <v>21</v>
      </c>
      <c r="Z45" s="257">
        <v>5.2</v>
      </c>
      <c r="AA45" s="257" t="s">
        <v>395</v>
      </c>
      <c r="AB45" s="257" t="s">
        <v>396</v>
      </c>
      <c r="AC45" s="257">
        <v>64</v>
      </c>
      <c r="AD45" s="257">
        <v>88</v>
      </c>
      <c r="AE45" s="257">
        <v>1023.7</v>
      </c>
      <c r="AF45" s="257">
        <v>1005.5</v>
      </c>
      <c r="AG45" s="257">
        <v>145</v>
      </c>
      <c r="AH45" s="257" t="s">
        <v>397</v>
      </c>
      <c r="AI45" s="257">
        <v>-2.8</v>
      </c>
      <c r="AJ45" s="257">
        <v>167</v>
      </c>
      <c r="AK45" s="257" t="s">
        <v>398</v>
      </c>
      <c r="AL45" s="257">
        <v>-1.7</v>
      </c>
      <c r="AM45" s="257">
        <v>35.3</v>
      </c>
      <c r="AN45" s="270">
        <v>-25.8</v>
      </c>
    </row>
    <row r="46" ht="20.2" customHeight="1" spans="1:40">
      <c r="A46" s="239"/>
      <c r="B46" s="255">
        <v>8</v>
      </c>
      <c r="C46" s="253" t="s">
        <v>399</v>
      </c>
      <c r="D46" s="255" t="s">
        <v>400</v>
      </c>
      <c r="E46" s="257" t="s">
        <v>401</v>
      </c>
      <c r="F46" s="257" t="s">
        <v>402</v>
      </c>
      <c r="G46" s="257">
        <v>65.9</v>
      </c>
      <c r="H46" s="257" t="s">
        <v>47</v>
      </c>
      <c r="I46" s="261">
        <v>9.5</v>
      </c>
      <c r="J46" s="257">
        <v>-13.1</v>
      </c>
      <c r="K46" s="257">
        <v>-7.9</v>
      </c>
      <c r="L46" s="257">
        <v>-15.5</v>
      </c>
      <c r="M46" s="257">
        <v>52</v>
      </c>
      <c r="N46" s="257">
        <v>31.4</v>
      </c>
      <c r="O46" s="257">
        <v>25.2</v>
      </c>
      <c r="P46" s="257">
        <v>27.9</v>
      </c>
      <c r="Q46" s="257">
        <v>67</v>
      </c>
      <c r="R46" s="257">
        <v>27.1</v>
      </c>
      <c r="S46" s="257">
        <v>3.3</v>
      </c>
      <c r="T46" s="257" t="s">
        <v>153</v>
      </c>
      <c r="U46" s="257">
        <v>18</v>
      </c>
      <c r="V46" s="257">
        <v>4.3</v>
      </c>
      <c r="W46" s="257">
        <v>3.2</v>
      </c>
      <c r="X46" s="257" t="s">
        <v>188</v>
      </c>
      <c r="Y46" s="257" t="s">
        <v>403</v>
      </c>
      <c r="Z46" s="257">
        <v>5.1</v>
      </c>
      <c r="AA46" s="257" t="s">
        <v>48</v>
      </c>
      <c r="AB46" s="257" t="s">
        <v>404</v>
      </c>
      <c r="AC46" s="257">
        <v>67</v>
      </c>
      <c r="AD46" s="257">
        <v>108</v>
      </c>
      <c r="AE46" s="257">
        <v>1017.8</v>
      </c>
      <c r="AF46" s="257">
        <v>997.8</v>
      </c>
      <c r="AG46" s="257">
        <v>144</v>
      </c>
      <c r="AH46" s="257" t="s">
        <v>240</v>
      </c>
      <c r="AI46" s="257">
        <v>-3.4</v>
      </c>
      <c r="AJ46" s="257">
        <v>164</v>
      </c>
      <c r="AK46" s="257" t="s">
        <v>376</v>
      </c>
      <c r="AL46" s="257">
        <v>-2.2</v>
      </c>
      <c r="AM46" s="257">
        <v>41.8</v>
      </c>
      <c r="AN46" s="270">
        <v>-22.8</v>
      </c>
    </row>
    <row r="47" ht="20.2" customHeight="1" spans="1:40">
      <c r="A47" s="239"/>
      <c r="B47" s="255">
        <v>9</v>
      </c>
      <c r="C47" s="253" t="s">
        <v>405</v>
      </c>
      <c r="D47" s="255" t="s">
        <v>406</v>
      </c>
      <c r="E47" s="257" t="s">
        <v>276</v>
      </c>
      <c r="F47" s="257" t="s">
        <v>295</v>
      </c>
      <c r="G47" s="257">
        <v>3.3</v>
      </c>
      <c r="H47" s="257" t="s">
        <v>47</v>
      </c>
      <c r="I47" s="257">
        <v>9.5</v>
      </c>
      <c r="J47" s="257">
        <v>-14.1</v>
      </c>
      <c r="K47" s="257">
        <v>-8.5</v>
      </c>
      <c r="L47" s="257">
        <v>-17.1</v>
      </c>
      <c r="M47" s="257">
        <v>62</v>
      </c>
      <c r="N47" s="257">
        <v>30.4</v>
      </c>
      <c r="O47" s="257">
        <v>25.5</v>
      </c>
      <c r="P47" s="257">
        <v>27.7</v>
      </c>
      <c r="Q47" s="257">
        <v>68</v>
      </c>
      <c r="R47" s="257">
        <v>27.5</v>
      </c>
      <c r="S47" s="257">
        <v>3.7</v>
      </c>
      <c r="T47" s="257" t="s">
        <v>153</v>
      </c>
      <c r="U47" s="257">
        <v>17</v>
      </c>
      <c r="V47" s="257">
        <v>4.8</v>
      </c>
      <c r="W47" s="257">
        <v>3.6</v>
      </c>
      <c r="X47" s="257" t="s">
        <v>262</v>
      </c>
      <c r="Y47" s="257">
        <v>16</v>
      </c>
      <c r="Z47" s="257">
        <v>4.3</v>
      </c>
      <c r="AA47" s="257" t="s">
        <v>153</v>
      </c>
      <c r="AB47" s="257">
        <v>15</v>
      </c>
      <c r="AC47" s="257">
        <v>67</v>
      </c>
      <c r="AD47" s="257">
        <v>101</v>
      </c>
      <c r="AE47" s="257">
        <v>1026.1</v>
      </c>
      <c r="AF47" s="257">
        <v>1005.5</v>
      </c>
      <c r="AG47" s="257">
        <v>144</v>
      </c>
      <c r="AH47" s="257" t="s">
        <v>407</v>
      </c>
      <c r="AI47" s="257">
        <v>-3.6</v>
      </c>
      <c r="AJ47" s="257">
        <v>164</v>
      </c>
      <c r="AK47" s="257" t="s">
        <v>408</v>
      </c>
      <c r="AL47" s="257">
        <v>-2.4</v>
      </c>
      <c r="AM47" s="257">
        <v>34.7</v>
      </c>
      <c r="AN47" s="270">
        <v>-28.4</v>
      </c>
    </row>
    <row r="48" ht="20.2" customHeight="1" spans="1:40">
      <c r="A48" s="239"/>
      <c r="B48" s="255">
        <v>10</v>
      </c>
      <c r="C48" s="253" t="s">
        <v>409</v>
      </c>
      <c r="D48" s="255" t="s">
        <v>410</v>
      </c>
      <c r="E48" s="257" t="s">
        <v>411</v>
      </c>
      <c r="F48" s="257" t="s">
        <v>412</v>
      </c>
      <c r="G48" s="257">
        <v>166.8</v>
      </c>
      <c r="H48" s="257" t="s">
        <v>47</v>
      </c>
      <c r="I48" s="257">
        <v>8.1</v>
      </c>
      <c r="J48" s="257">
        <v>-15.7</v>
      </c>
      <c r="K48" s="257">
        <v>-10.6</v>
      </c>
      <c r="L48" s="257">
        <v>-18.5</v>
      </c>
      <c r="M48" s="257">
        <v>49</v>
      </c>
      <c r="N48" s="257">
        <v>32.5</v>
      </c>
      <c r="O48" s="257">
        <v>24.7</v>
      </c>
      <c r="P48" s="257">
        <v>28.4</v>
      </c>
      <c r="Q48" s="257">
        <v>60</v>
      </c>
      <c r="R48" s="257">
        <v>27.3</v>
      </c>
      <c r="S48" s="257">
        <v>2.1</v>
      </c>
      <c r="T48" s="257" t="s">
        <v>48</v>
      </c>
      <c r="U48" s="257" t="s">
        <v>413</v>
      </c>
      <c r="V48" s="257">
        <v>3.4</v>
      </c>
      <c r="W48" s="257">
        <v>2.1</v>
      </c>
      <c r="X48" s="257" t="s">
        <v>414</v>
      </c>
      <c r="Y48" s="257" t="s">
        <v>415</v>
      </c>
      <c r="Z48" s="257">
        <v>4.1</v>
      </c>
      <c r="AA48" s="257" t="s">
        <v>52</v>
      </c>
      <c r="AB48" s="257" t="s">
        <v>416</v>
      </c>
      <c r="AC48" s="257">
        <v>68</v>
      </c>
      <c r="AD48" s="257">
        <v>139</v>
      </c>
      <c r="AE48" s="257">
        <v>1007</v>
      </c>
      <c r="AF48" s="257">
        <v>988.1</v>
      </c>
      <c r="AG48" s="257">
        <v>159</v>
      </c>
      <c r="AH48" s="257" t="s">
        <v>417</v>
      </c>
      <c r="AI48" s="257">
        <v>-4.8</v>
      </c>
      <c r="AJ48" s="257">
        <v>176</v>
      </c>
      <c r="AK48" s="257" t="s">
        <v>418</v>
      </c>
      <c r="AL48" s="257">
        <v>3.7</v>
      </c>
      <c r="AM48" s="257">
        <v>40.9</v>
      </c>
      <c r="AN48" s="270">
        <v>-27.1</v>
      </c>
    </row>
    <row r="49" ht="20.2" customHeight="1" spans="1:40">
      <c r="A49" s="239"/>
      <c r="B49" s="255">
        <v>11</v>
      </c>
      <c r="C49" s="253" t="s">
        <v>419</v>
      </c>
      <c r="D49" s="255" t="s">
        <v>420</v>
      </c>
      <c r="E49" s="257" t="s">
        <v>421</v>
      </c>
      <c r="F49" s="257" t="s">
        <v>422</v>
      </c>
      <c r="G49" s="257">
        <v>98.2</v>
      </c>
      <c r="H49" s="257" t="s">
        <v>47</v>
      </c>
      <c r="I49" s="257">
        <v>7</v>
      </c>
      <c r="J49" s="257">
        <v>-20</v>
      </c>
      <c r="K49" s="257">
        <v>-13.4</v>
      </c>
      <c r="L49" s="257">
        <v>-23.5</v>
      </c>
      <c r="M49" s="257">
        <v>49</v>
      </c>
      <c r="N49" s="257">
        <v>31.1</v>
      </c>
      <c r="O49" s="257">
        <v>25</v>
      </c>
      <c r="P49" s="257">
        <v>27.5</v>
      </c>
      <c r="Q49" s="257">
        <v>60</v>
      </c>
      <c r="R49" s="257">
        <v>26.8</v>
      </c>
      <c r="S49" s="257">
        <v>2.7</v>
      </c>
      <c r="T49" s="257" t="s">
        <v>296</v>
      </c>
      <c r="U49" s="257">
        <v>17</v>
      </c>
      <c r="V49" s="257">
        <v>3.1</v>
      </c>
      <c r="W49" s="257">
        <v>2.7</v>
      </c>
      <c r="X49" s="257" t="s">
        <v>48</v>
      </c>
      <c r="Y49" s="257" t="s">
        <v>191</v>
      </c>
      <c r="Z49" s="257">
        <v>3.8</v>
      </c>
      <c r="AA49" s="257" t="s">
        <v>153</v>
      </c>
      <c r="AB49" s="257">
        <v>16</v>
      </c>
      <c r="AC49" s="257">
        <v>62</v>
      </c>
      <c r="AD49" s="257">
        <v>137</v>
      </c>
      <c r="AE49" s="257">
        <v>1013.4</v>
      </c>
      <c r="AF49" s="257">
        <v>994.6</v>
      </c>
      <c r="AG49" s="257">
        <v>160</v>
      </c>
      <c r="AH49" s="257" t="s">
        <v>423</v>
      </c>
      <c r="AI49" s="257">
        <v>-6.4</v>
      </c>
      <c r="AJ49" s="257">
        <v>180</v>
      </c>
      <c r="AK49" s="257" t="s">
        <v>424</v>
      </c>
      <c r="AL49" s="257">
        <v>-4.9</v>
      </c>
      <c r="AM49" s="257">
        <v>36.6</v>
      </c>
      <c r="AN49" s="270">
        <v>-36.3</v>
      </c>
    </row>
    <row r="50" ht="20.2" customHeight="1" spans="1:40">
      <c r="A50" s="239"/>
      <c r="B50" s="255">
        <v>12</v>
      </c>
      <c r="C50" s="253" t="s">
        <v>425</v>
      </c>
      <c r="D50" s="255" t="s">
        <v>426</v>
      </c>
      <c r="E50" s="257" t="s">
        <v>427</v>
      </c>
      <c r="F50" s="257" t="s">
        <v>428</v>
      </c>
      <c r="G50" s="257">
        <v>169.9</v>
      </c>
      <c r="H50" s="257" t="s">
        <v>47</v>
      </c>
      <c r="I50" s="257">
        <v>9</v>
      </c>
      <c r="J50" s="257">
        <v>-15.3</v>
      </c>
      <c r="K50" s="257">
        <v>-9.7</v>
      </c>
      <c r="L50" s="257">
        <v>-18.3</v>
      </c>
      <c r="M50" s="257">
        <v>43</v>
      </c>
      <c r="N50" s="257">
        <v>33.5</v>
      </c>
      <c r="O50" s="257">
        <v>25</v>
      </c>
      <c r="P50" s="257">
        <v>28.9</v>
      </c>
      <c r="Q50" s="257">
        <v>58</v>
      </c>
      <c r="R50" s="257">
        <v>28.3</v>
      </c>
      <c r="S50" s="257">
        <v>2.5</v>
      </c>
      <c r="T50" s="257" t="s">
        <v>130</v>
      </c>
      <c r="U50" s="257" t="s">
        <v>429</v>
      </c>
      <c r="V50" s="257">
        <v>3.6</v>
      </c>
      <c r="W50" s="257">
        <v>2.4</v>
      </c>
      <c r="X50" s="257" t="s">
        <v>104</v>
      </c>
      <c r="Y50" s="257" t="s">
        <v>430</v>
      </c>
      <c r="Z50" s="257">
        <v>3.5</v>
      </c>
      <c r="AA50" s="257" t="s">
        <v>130</v>
      </c>
      <c r="AB50" s="257" t="s">
        <v>431</v>
      </c>
      <c r="AC50" s="257">
        <v>69</v>
      </c>
      <c r="AD50" s="257">
        <v>135</v>
      </c>
      <c r="AE50" s="257">
        <v>1004.5</v>
      </c>
      <c r="AF50" s="257">
        <v>985.5</v>
      </c>
      <c r="AG50" s="257">
        <v>145</v>
      </c>
      <c r="AH50" s="257" t="s">
        <v>432</v>
      </c>
      <c r="AI50" s="257">
        <v>-4.7</v>
      </c>
      <c r="AJ50" s="257">
        <v>157</v>
      </c>
      <c r="AK50" s="257" t="s">
        <v>433</v>
      </c>
      <c r="AL50" s="257">
        <v>-3.2</v>
      </c>
      <c r="AM50" s="257">
        <v>43.3</v>
      </c>
      <c r="AN50" s="270">
        <v>-34.4</v>
      </c>
    </row>
    <row r="51" s="301" customFormat="1" ht="20.2" customHeight="1" spans="1:40">
      <c r="A51" s="239"/>
      <c r="B51" s="404">
        <v>13</v>
      </c>
      <c r="C51" s="405" t="s">
        <v>434</v>
      </c>
      <c r="D51" s="404" t="s">
        <v>435</v>
      </c>
      <c r="E51" s="404" t="s">
        <v>436</v>
      </c>
      <c r="F51" s="404" t="s">
        <v>437</v>
      </c>
      <c r="G51" s="404">
        <v>8.5</v>
      </c>
      <c r="H51" s="404" t="s">
        <v>47</v>
      </c>
      <c r="I51" s="404">
        <v>9.2</v>
      </c>
      <c r="J51" s="404">
        <v>-12.6</v>
      </c>
      <c r="K51" s="404">
        <v>7.7</v>
      </c>
      <c r="L51" s="404">
        <v>-15</v>
      </c>
      <c r="M51" s="404">
        <v>52</v>
      </c>
      <c r="N51" s="404">
        <v>29.5</v>
      </c>
      <c r="O51" s="404">
        <v>25.5</v>
      </c>
      <c r="P51" s="404">
        <v>26.8</v>
      </c>
      <c r="Q51" s="404">
        <v>76</v>
      </c>
      <c r="R51" s="404">
        <v>26.4</v>
      </c>
      <c r="S51" s="404">
        <v>2.4</v>
      </c>
      <c r="T51" s="404" t="s">
        <v>104</v>
      </c>
      <c r="U51" s="404" t="s">
        <v>438</v>
      </c>
      <c r="V51" s="404">
        <v>3.9</v>
      </c>
      <c r="W51" s="404">
        <v>2.2</v>
      </c>
      <c r="X51" s="404" t="s">
        <v>188</v>
      </c>
      <c r="Y51" s="404" t="s">
        <v>439</v>
      </c>
      <c r="Z51" s="404">
        <v>3.4</v>
      </c>
      <c r="AA51" s="404" t="s">
        <v>52</v>
      </c>
      <c r="AB51" s="404" t="s">
        <v>440</v>
      </c>
      <c r="AC51" s="404">
        <v>72</v>
      </c>
      <c r="AD51" s="404">
        <v>99</v>
      </c>
      <c r="AE51" s="404">
        <v>1025.5</v>
      </c>
      <c r="AF51" s="404">
        <v>1004.7</v>
      </c>
      <c r="AG51" s="404">
        <v>145</v>
      </c>
      <c r="AH51" s="404" t="s">
        <v>441</v>
      </c>
      <c r="AI51" s="404">
        <v>-3.2</v>
      </c>
      <c r="AJ51" s="404">
        <v>167</v>
      </c>
      <c r="AK51" s="404" t="s">
        <v>442</v>
      </c>
      <c r="AL51" s="404">
        <v>-1.9</v>
      </c>
      <c r="AM51" s="404">
        <v>40.8</v>
      </c>
      <c r="AN51" s="406">
        <v>-27.5</v>
      </c>
    </row>
    <row r="52" s="302" customFormat="1" ht="20.2" customHeight="1" spans="1:40">
      <c r="A52" s="386" t="s">
        <v>443</v>
      </c>
      <c r="B52" s="351">
        <v>1</v>
      </c>
      <c r="C52" s="407" t="s">
        <v>444</v>
      </c>
      <c r="D52" s="351" t="s">
        <v>445</v>
      </c>
      <c r="E52" s="351" t="s">
        <v>446</v>
      </c>
      <c r="F52" s="351" t="s">
        <v>447</v>
      </c>
      <c r="G52" s="351">
        <v>236.8</v>
      </c>
      <c r="H52" s="351" t="s">
        <v>47</v>
      </c>
      <c r="I52" s="351">
        <v>5.7</v>
      </c>
      <c r="J52" s="351">
        <v>-21.1</v>
      </c>
      <c r="K52" s="351">
        <v>-15.1</v>
      </c>
      <c r="L52" s="351">
        <v>-24.3</v>
      </c>
      <c r="M52" s="351">
        <v>66</v>
      </c>
      <c r="N52" s="351">
        <v>30.5</v>
      </c>
      <c r="O52" s="351">
        <v>24.1</v>
      </c>
      <c r="P52" s="351">
        <v>26.6</v>
      </c>
      <c r="Q52" s="351">
        <v>65</v>
      </c>
      <c r="R52" s="351">
        <v>26.3</v>
      </c>
      <c r="S52" s="351">
        <v>3.2</v>
      </c>
      <c r="T52" s="351" t="s">
        <v>309</v>
      </c>
      <c r="U52" s="351">
        <v>15</v>
      </c>
      <c r="V52" s="351">
        <v>4.6</v>
      </c>
      <c r="W52" s="351">
        <v>3.7</v>
      </c>
      <c r="X52" s="351" t="s">
        <v>309</v>
      </c>
      <c r="Y52" s="351">
        <v>20</v>
      </c>
      <c r="Z52" s="351">
        <v>4.7</v>
      </c>
      <c r="AA52" s="351" t="s">
        <v>309</v>
      </c>
      <c r="AB52" s="351">
        <v>17</v>
      </c>
      <c r="AC52" s="351">
        <v>64</v>
      </c>
      <c r="AD52" s="351">
        <v>169</v>
      </c>
      <c r="AE52" s="351">
        <v>994.4</v>
      </c>
      <c r="AF52" s="351">
        <v>978.4</v>
      </c>
      <c r="AG52" s="351">
        <v>169</v>
      </c>
      <c r="AH52" s="351" t="s">
        <v>448</v>
      </c>
      <c r="AI52" s="351">
        <v>-7.6</v>
      </c>
      <c r="AJ52" s="351">
        <v>188</v>
      </c>
      <c r="AK52" s="351" t="s">
        <v>449</v>
      </c>
      <c r="AL52" s="351">
        <v>-6.1</v>
      </c>
      <c r="AM52" s="351">
        <v>35.7</v>
      </c>
      <c r="AN52" s="408">
        <v>-33</v>
      </c>
    </row>
    <row r="53" ht="20.2" customHeight="1" spans="1:40">
      <c r="A53" s="239"/>
      <c r="B53" s="255">
        <v>2</v>
      </c>
      <c r="C53" s="357" t="s">
        <v>450</v>
      </c>
      <c r="D53" s="358" t="s">
        <v>451</v>
      </c>
      <c r="E53" s="257" t="s">
        <v>353</v>
      </c>
      <c r="F53" s="257" t="s">
        <v>452</v>
      </c>
      <c r="G53" s="257">
        <v>183.4</v>
      </c>
      <c r="H53" s="257" t="s">
        <v>152</v>
      </c>
      <c r="I53" s="257">
        <v>4.8</v>
      </c>
      <c r="J53" s="257">
        <v>-24</v>
      </c>
      <c r="K53" s="257">
        <v>-17.2</v>
      </c>
      <c r="L53" s="257">
        <v>-27.5</v>
      </c>
      <c r="M53" s="257">
        <v>72</v>
      </c>
      <c r="N53" s="257">
        <v>30.4</v>
      </c>
      <c r="O53" s="257">
        <v>24.1</v>
      </c>
      <c r="P53" s="257">
        <v>26.6</v>
      </c>
      <c r="Q53" s="257">
        <v>65</v>
      </c>
      <c r="R53" s="257">
        <v>26.1</v>
      </c>
      <c r="S53" s="257">
        <v>2.6</v>
      </c>
      <c r="T53" s="257" t="s">
        <v>211</v>
      </c>
      <c r="U53" s="257" t="s">
        <v>245</v>
      </c>
      <c r="V53" s="257">
        <v>2.3</v>
      </c>
      <c r="W53" s="257">
        <v>2.6</v>
      </c>
      <c r="X53" s="257" t="s">
        <v>285</v>
      </c>
      <c r="Y53" s="257" t="s">
        <v>453</v>
      </c>
      <c r="Z53" s="257">
        <v>4</v>
      </c>
      <c r="AA53" s="257" t="s">
        <v>356</v>
      </c>
      <c r="AB53" s="257" t="s">
        <v>454</v>
      </c>
      <c r="AC53" s="257">
        <v>52</v>
      </c>
      <c r="AD53" s="257">
        <v>182</v>
      </c>
      <c r="AE53" s="257">
        <v>1001.9</v>
      </c>
      <c r="AF53" s="257">
        <v>984.8</v>
      </c>
      <c r="AG53" s="257">
        <v>172</v>
      </c>
      <c r="AH53" s="257" t="s">
        <v>455</v>
      </c>
      <c r="AI53" s="257">
        <v>-8.5</v>
      </c>
      <c r="AJ53" s="257">
        <v>191</v>
      </c>
      <c r="AK53" s="257" t="s">
        <v>456</v>
      </c>
      <c r="AL53" s="257">
        <v>-7.1</v>
      </c>
      <c r="AM53" s="257">
        <v>35.7</v>
      </c>
      <c r="AN53" s="270">
        <v>-40.3</v>
      </c>
    </row>
    <row r="54" ht="20.2" customHeight="1" spans="1:40">
      <c r="A54" s="239"/>
      <c r="B54" s="255">
        <v>3</v>
      </c>
      <c r="C54" s="357" t="s">
        <v>457</v>
      </c>
      <c r="D54" s="358" t="s">
        <v>458</v>
      </c>
      <c r="E54" s="257" t="s">
        <v>459</v>
      </c>
      <c r="F54" s="257" t="s">
        <v>393</v>
      </c>
      <c r="G54" s="257">
        <v>164.2</v>
      </c>
      <c r="H54" s="257" t="s">
        <v>47</v>
      </c>
      <c r="I54" s="257">
        <v>6.7</v>
      </c>
      <c r="J54" s="257">
        <v>-19.7</v>
      </c>
      <c r="K54" s="257">
        <v>-13.5</v>
      </c>
      <c r="L54" s="257">
        <v>-22.8</v>
      </c>
      <c r="M54" s="257">
        <v>66</v>
      </c>
      <c r="N54" s="257">
        <v>30.7</v>
      </c>
      <c r="O54" s="257">
        <v>24.5</v>
      </c>
      <c r="P54" s="257">
        <v>27.2</v>
      </c>
      <c r="Q54" s="257">
        <v>65</v>
      </c>
      <c r="R54" s="257">
        <v>26.7</v>
      </c>
      <c r="S54" s="257">
        <v>2.5</v>
      </c>
      <c r="T54" s="257" t="s">
        <v>153</v>
      </c>
      <c r="U54" s="257">
        <v>17</v>
      </c>
      <c r="V54" s="257">
        <v>3.8</v>
      </c>
      <c r="W54" s="257">
        <v>2.6</v>
      </c>
      <c r="X54" s="257" t="s">
        <v>52</v>
      </c>
      <c r="Y54" s="257" t="s">
        <v>460</v>
      </c>
      <c r="Z54" s="257">
        <v>3.9</v>
      </c>
      <c r="AA54" s="257" t="s">
        <v>153</v>
      </c>
      <c r="AB54" s="257">
        <v>16</v>
      </c>
      <c r="AC54" s="257">
        <v>69</v>
      </c>
      <c r="AD54" s="257">
        <v>148</v>
      </c>
      <c r="AE54" s="257">
        <v>1004.3</v>
      </c>
      <c r="AF54" s="257">
        <v>986.7</v>
      </c>
      <c r="AG54" s="257">
        <v>163</v>
      </c>
      <c r="AH54" s="257" t="s">
        <v>461</v>
      </c>
      <c r="AI54" s="257">
        <v>-6.6</v>
      </c>
      <c r="AJ54" s="257">
        <v>184</v>
      </c>
      <c r="AK54" s="257" t="s">
        <v>298</v>
      </c>
      <c r="AL54" s="257">
        <v>-5</v>
      </c>
      <c r="AM54" s="257">
        <v>37.3</v>
      </c>
      <c r="AN54" s="270">
        <v>-32.3</v>
      </c>
    </row>
    <row r="55" s="298" customFormat="1" ht="20.2" customHeight="1" spans="1:40">
      <c r="A55" s="239"/>
      <c r="B55" s="255">
        <v>4</v>
      </c>
      <c r="C55" s="357" t="s">
        <v>462</v>
      </c>
      <c r="D55" s="358" t="s">
        <v>463</v>
      </c>
      <c r="E55" s="390" t="s">
        <v>464</v>
      </c>
      <c r="F55" s="390" t="s">
        <v>465</v>
      </c>
      <c r="G55" s="390">
        <v>402.9</v>
      </c>
      <c r="H55" s="390" t="s">
        <v>47</v>
      </c>
      <c r="I55" s="390">
        <v>5.6</v>
      </c>
      <c r="J55" s="390">
        <v>-21</v>
      </c>
      <c r="K55" s="390">
        <v>-14.2</v>
      </c>
      <c r="L55" s="390">
        <v>-24.2</v>
      </c>
      <c r="M55" s="390">
        <v>68</v>
      </c>
      <c r="N55" s="390">
        <v>29.9</v>
      </c>
      <c r="O55" s="390">
        <v>23.2</v>
      </c>
      <c r="P55" s="390">
        <v>26.3</v>
      </c>
      <c r="Q55" s="390">
        <v>64</v>
      </c>
      <c r="R55" s="390">
        <v>25.3</v>
      </c>
      <c r="S55" s="390">
        <v>1.6</v>
      </c>
      <c r="T55" s="390" t="s">
        <v>160</v>
      </c>
      <c r="U55" s="390" t="s">
        <v>466</v>
      </c>
      <c r="V55" s="390">
        <v>3.5</v>
      </c>
      <c r="W55" s="390">
        <v>1.3</v>
      </c>
      <c r="X55" s="390" t="s">
        <v>52</v>
      </c>
      <c r="Y55" s="390" t="s">
        <v>467</v>
      </c>
      <c r="Z55" s="390">
        <v>3.6</v>
      </c>
      <c r="AA55" s="390" t="s">
        <v>52</v>
      </c>
      <c r="AB55" s="390" t="s">
        <v>468</v>
      </c>
      <c r="AC55" s="390">
        <v>50</v>
      </c>
      <c r="AD55" s="390">
        <v>139</v>
      </c>
      <c r="AE55" s="390">
        <v>974.7</v>
      </c>
      <c r="AF55" s="390">
        <v>961</v>
      </c>
      <c r="AG55" s="390">
        <v>170</v>
      </c>
      <c r="AH55" s="390" t="s">
        <v>469</v>
      </c>
      <c r="AI55" s="390">
        <v>-6.6</v>
      </c>
      <c r="AJ55" s="390">
        <v>189</v>
      </c>
      <c r="AK55" s="390" t="s">
        <v>470</v>
      </c>
      <c r="AL55" s="390">
        <v>-5.3</v>
      </c>
      <c r="AM55" s="390">
        <v>35.6</v>
      </c>
      <c r="AN55" s="391">
        <v>-33.1</v>
      </c>
    </row>
    <row r="56" s="298" customFormat="1" ht="20.2" customHeight="1" spans="1:40">
      <c r="A56" s="239"/>
      <c r="B56" s="255">
        <v>5</v>
      </c>
      <c r="C56" s="357" t="s">
        <v>471</v>
      </c>
      <c r="D56" s="358" t="s">
        <v>472</v>
      </c>
      <c r="E56" s="390" t="s">
        <v>473</v>
      </c>
      <c r="F56" s="390" t="s">
        <v>474</v>
      </c>
      <c r="G56" s="390">
        <v>332.7</v>
      </c>
      <c r="H56" s="390" t="s">
        <v>47</v>
      </c>
      <c r="I56" s="390">
        <v>5.3</v>
      </c>
      <c r="J56" s="390">
        <v>-21.5</v>
      </c>
      <c r="K56" s="390">
        <v>-15.6</v>
      </c>
      <c r="L56" s="390">
        <v>-24.4</v>
      </c>
      <c r="M56" s="390">
        <v>71</v>
      </c>
      <c r="N56" s="390">
        <v>30.8</v>
      </c>
      <c r="O56" s="390">
        <v>23.6</v>
      </c>
      <c r="P56" s="390">
        <v>27.3</v>
      </c>
      <c r="Q56" s="390">
        <v>61</v>
      </c>
      <c r="R56" s="390">
        <v>25.4</v>
      </c>
      <c r="S56" s="390">
        <v>1.2</v>
      </c>
      <c r="T56" s="390" t="s">
        <v>80</v>
      </c>
      <c r="U56" s="390" t="s">
        <v>475</v>
      </c>
      <c r="V56" s="390">
        <v>1.6</v>
      </c>
      <c r="W56" s="390">
        <v>0.8</v>
      </c>
      <c r="X56" s="390" t="s">
        <v>188</v>
      </c>
      <c r="Y56" s="390" t="s">
        <v>476</v>
      </c>
      <c r="Z56" s="390">
        <v>1.6</v>
      </c>
      <c r="AA56" s="390" t="s">
        <v>188</v>
      </c>
      <c r="AB56" s="390" t="s">
        <v>477</v>
      </c>
      <c r="AC56" s="390">
        <v>55</v>
      </c>
      <c r="AD56" s="390">
        <v>136</v>
      </c>
      <c r="AE56" s="390">
        <v>983.9</v>
      </c>
      <c r="AF56" s="390">
        <v>969.1</v>
      </c>
      <c r="AG56" s="390">
        <v>170</v>
      </c>
      <c r="AH56" s="390" t="s">
        <v>469</v>
      </c>
      <c r="AI56" s="390">
        <v>-7.2</v>
      </c>
      <c r="AJ56" s="390">
        <v>191</v>
      </c>
      <c r="AK56" s="390" t="s">
        <v>456</v>
      </c>
      <c r="AL56" s="390">
        <v>-5.7</v>
      </c>
      <c r="AM56" s="390">
        <v>37.9</v>
      </c>
      <c r="AN56" s="391">
        <v>-33.8</v>
      </c>
    </row>
    <row r="57" s="298" customFormat="1" ht="20.2" customHeight="1" spans="1:40">
      <c r="A57" s="239"/>
      <c r="B57" s="255">
        <v>6</v>
      </c>
      <c r="C57" s="357" t="s">
        <v>478</v>
      </c>
      <c r="D57" s="358" t="s">
        <v>479</v>
      </c>
      <c r="E57" s="390" t="s">
        <v>480</v>
      </c>
      <c r="F57" s="390" t="s">
        <v>481</v>
      </c>
      <c r="G57" s="390">
        <v>146.3</v>
      </c>
      <c r="H57" s="390" t="s">
        <v>47</v>
      </c>
      <c r="I57" s="390">
        <v>5.4</v>
      </c>
      <c r="J57" s="390">
        <v>-21.6</v>
      </c>
      <c r="K57" s="390">
        <v>-16.1</v>
      </c>
      <c r="L57" s="390">
        <v>-24.5</v>
      </c>
      <c r="M57" s="390">
        <v>64</v>
      </c>
      <c r="N57" s="390">
        <v>31.8</v>
      </c>
      <c r="O57" s="390">
        <v>24.2</v>
      </c>
      <c r="P57" s="390">
        <v>27.6</v>
      </c>
      <c r="Q57" s="390">
        <v>59</v>
      </c>
      <c r="R57" s="390">
        <v>27.3</v>
      </c>
      <c r="S57" s="390">
        <v>3</v>
      </c>
      <c r="T57" s="390" t="s">
        <v>296</v>
      </c>
      <c r="U57" s="390">
        <v>14</v>
      </c>
      <c r="V57" s="390">
        <v>3.8</v>
      </c>
      <c r="W57" s="390">
        <v>2.9</v>
      </c>
      <c r="X57" s="390" t="s">
        <v>482</v>
      </c>
      <c r="Y57" s="390">
        <v>12</v>
      </c>
      <c r="Z57" s="390">
        <v>3.2</v>
      </c>
      <c r="AA57" s="390" t="s">
        <v>296</v>
      </c>
      <c r="AB57" s="390">
        <v>11</v>
      </c>
      <c r="AC57" s="390">
        <v>67</v>
      </c>
      <c r="AD57" s="390">
        <v>220</v>
      </c>
      <c r="AE57" s="390">
        <v>1005.5</v>
      </c>
      <c r="AF57" s="390">
        <v>987.9</v>
      </c>
      <c r="AG57" s="390">
        <v>170</v>
      </c>
      <c r="AH57" s="390" t="s">
        <v>483</v>
      </c>
      <c r="AI57" s="390">
        <v>-8.4</v>
      </c>
      <c r="AJ57" s="390">
        <v>190</v>
      </c>
      <c r="AK57" s="390" t="s">
        <v>484</v>
      </c>
      <c r="AL57" s="390">
        <v>-6.9</v>
      </c>
      <c r="AM57" s="390">
        <v>38.5</v>
      </c>
      <c r="AN57" s="391">
        <v>-34.8</v>
      </c>
    </row>
    <row r="58" s="298" customFormat="1" ht="20.2" customHeight="1" spans="1:40">
      <c r="A58" s="239"/>
      <c r="B58" s="255">
        <v>7</v>
      </c>
      <c r="C58" s="357" t="s">
        <v>485</v>
      </c>
      <c r="D58" s="358" t="s">
        <v>486</v>
      </c>
      <c r="E58" s="390" t="s">
        <v>487</v>
      </c>
      <c r="F58" s="390" t="s">
        <v>488</v>
      </c>
      <c r="G58" s="390">
        <v>155.2</v>
      </c>
      <c r="H58" s="390" t="s">
        <v>47</v>
      </c>
      <c r="I58" s="390">
        <v>5</v>
      </c>
      <c r="J58" s="390">
        <v>-21.7</v>
      </c>
      <c r="K58" s="390">
        <v>-16.4</v>
      </c>
      <c r="L58" s="390">
        <v>-25.3</v>
      </c>
      <c r="M58" s="390">
        <v>57</v>
      </c>
      <c r="N58" s="390">
        <v>31.8</v>
      </c>
      <c r="O58" s="390">
        <v>23.9</v>
      </c>
      <c r="P58" s="390">
        <v>27.5</v>
      </c>
      <c r="Q58" s="390">
        <v>58</v>
      </c>
      <c r="R58" s="390">
        <v>26.9</v>
      </c>
      <c r="S58" s="390">
        <v>2.9</v>
      </c>
      <c r="T58" s="390" t="s">
        <v>130</v>
      </c>
      <c r="U58" s="390" t="s">
        <v>489</v>
      </c>
      <c r="V58" s="390">
        <v>3.8</v>
      </c>
      <c r="W58" s="390">
        <v>3</v>
      </c>
      <c r="X58" s="390" t="s">
        <v>144</v>
      </c>
      <c r="Y58" s="390" t="s">
        <v>490</v>
      </c>
      <c r="Z58" s="390">
        <v>3.4</v>
      </c>
      <c r="AA58" s="390" t="s">
        <v>188</v>
      </c>
      <c r="AB58" s="390" t="s">
        <v>491</v>
      </c>
      <c r="AC58" s="390">
        <v>73</v>
      </c>
      <c r="AD58" s="390">
        <v>750</v>
      </c>
      <c r="AE58" s="390">
        <v>1004.6</v>
      </c>
      <c r="AF58" s="390">
        <v>986.9</v>
      </c>
      <c r="AG58" s="390">
        <v>172</v>
      </c>
      <c r="AH58" s="390" t="s">
        <v>455</v>
      </c>
      <c r="AI58" s="390">
        <v>-8.6</v>
      </c>
      <c r="AJ58" s="390">
        <v>191</v>
      </c>
      <c r="AK58" s="390" t="s">
        <v>492</v>
      </c>
      <c r="AL58" s="390">
        <v>-7.1</v>
      </c>
      <c r="AM58" s="390">
        <v>38.6</v>
      </c>
      <c r="AN58" s="391">
        <v>-38.1</v>
      </c>
    </row>
    <row r="59" s="303" customFormat="1" ht="20.2" customHeight="1" spans="1:40">
      <c r="A59" s="363"/>
      <c r="B59" s="409">
        <v>8</v>
      </c>
      <c r="C59" s="410" t="s">
        <v>493</v>
      </c>
      <c r="D59" s="411" t="s">
        <v>494</v>
      </c>
      <c r="E59" s="411" t="s">
        <v>495</v>
      </c>
      <c r="F59" s="411" t="s">
        <v>496</v>
      </c>
      <c r="G59" s="411">
        <v>176.8</v>
      </c>
      <c r="H59" s="411" t="s">
        <v>47</v>
      </c>
      <c r="I59" s="411">
        <v>5.4</v>
      </c>
      <c r="J59" s="411">
        <v>-18.4</v>
      </c>
      <c r="K59" s="411">
        <v>-13.6</v>
      </c>
      <c r="L59" s="411">
        <v>-21.3</v>
      </c>
      <c r="M59" s="411">
        <v>59</v>
      </c>
      <c r="N59" s="411">
        <v>31.3</v>
      </c>
      <c r="O59" s="411">
        <v>23.7</v>
      </c>
      <c r="P59" s="411">
        <v>26.7</v>
      </c>
      <c r="Q59" s="411">
        <v>63</v>
      </c>
      <c r="R59" s="411">
        <v>25.6</v>
      </c>
      <c r="S59" s="411">
        <v>2.1</v>
      </c>
      <c r="T59" s="411" t="s">
        <v>497</v>
      </c>
      <c r="U59" s="411" t="s">
        <v>498</v>
      </c>
      <c r="V59" s="411">
        <v>3.7</v>
      </c>
      <c r="W59" s="411">
        <v>2.6</v>
      </c>
      <c r="X59" s="411" t="s">
        <v>144</v>
      </c>
      <c r="Y59" s="411" t="s">
        <v>499</v>
      </c>
      <c r="Z59" s="411">
        <v>5</v>
      </c>
      <c r="AA59" s="411" t="s">
        <v>144</v>
      </c>
      <c r="AB59" s="411" t="s">
        <v>500</v>
      </c>
      <c r="AC59" s="411">
        <v>57</v>
      </c>
      <c r="AD59" s="411">
        <v>198</v>
      </c>
      <c r="AE59" s="411">
        <v>1000.7</v>
      </c>
      <c r="AF59" s="411">
        <v>986.8</v>
      </c>
      <c r="AG59" s="411">
        <v>171</v>
      </c>
      <c r="AH59" s="411" t="s">
        <v>501</v>
      </c>
      <c r="AI59" s="411">
        <v>-6.6</v>
      </c>
      <c r="AJ59" s="411">
        <v>192</v>
      </c>
      <c r="AK59" s="411" t="s">
        <v>502</v>
      </c>
      <c r="AL59" s="411">
        <v>-5.1</v>
      </c>
      <c r="AM59" s="411">
        <v>37.7</v>
      </c>
      <c r="AN59" s="412">
        <v>-32.7</v>
      </c>
    </row>
    <row r="60" s="299" customFormat="1" ht="20.2" customHeight="1" spans="1:40">
      <c r="A60" s="368" t="s">
        <v>503</v>
      </c>
      <c r="B60" s="393">
        <v>1</v>
      </c>
      <c r="C60" s="394" t="s">
        <v>504</v>
      </c>
      <c r="D60" s="393" t="s">
        <v>505</v>
      </c>
      <c r="E60" s="393" t="s">
        <v>506</v>
      </c>
      <c r="F60" s="393" t="s">
        <v>507</v>
      </c>
      <c r="G60" s="393">
        <v>142.3</v>
      </c>
      <c r="H60" s="393" t="s">
        <v>47</v>
      </c>
      <c r="I60" s="393">
        <v>4.2</v>
      </c>
      <c r="J60" s="393">
        <v>-24.2</v>
      </c>
      <c r="K60" s="393">
        <v>-18.4</v>
      </c>
      <c r="L60" s="393">
        <v>-27.1</v>
      </c>
      <c r="M60" s="393">
        <v>73</v>
      </c>
      <c r="N60" s="393">
        <v>30.7</v>
      </c>
      <c r="O60" s="393">
        <v>23.9</v>
      </c>
      <c r="P60" s="393">
        <v>26.8</v>
      </c>
      <c r="Q60" s="393">
        <v>62</v>
      </c>
      <c r="R60" s="393">
        <v>26.3</v>
      </c>
      <c r="S60" s="393">
        <v>3.2</v>
      </c>
      <c r="T60" s="393" t="s">
        <v>296</v>
      </c>
      <c r="U60" s="393">
        <v>12</v>
      </c>
      <c r="V60" s="393">
        <v>3.9</v>
      </c>
      <c r="W60" s="393">
        <v>3.2</v>
      </c>
      <c r="X60" s="393" t="s">
        <v>153</v>
      </c>
      <c r="Y60" s="393">
        <v>14</v>
      </c>
      <c r="Z60" s="393">
        <v>3.7</v>
      </c>
      <c r="AA60" s="393" t="s">
        <v>296</v>
      </c>
      <c r="AB60" s="393">
        <v>12</v>
      </c>
      <c r="AC60" s="393">
        <v>56</v>
      </c>
      <c r="AD60" s="393">
        <v>205</v>
      </c>
      <c r="AE60" s="393">
        <v>1004.2</v>
      </c>
      <c r="AF60" s="393">
        <v>987.7</v>
      </c>
      <c r="AG60" s="393">
        <v>176</v>
      </c>
      <c r="AH60" s="393" t="s">
        <v>344</v>
      </c>
      <c r="AI60" s="393">
        <v>-9.4</v>
      </c>
      <c r="AJ60" s="393">
        <v>195</v>
      </c>
      <c r="AK60" s="393" t="s">
        <v>508</v>
      </c>
      <c r="AL60" s="393">
        <v>-7.8</v>
      </c>
      <c r="AM60" s="393">
        <v>36.7</v>
      </c>
      <c r="AN60" s="395">
        <v>-37.7</v>
      </c>
    </row>
    <row r="61" ht="20.2" customHeight="1" spans="1:40">
      <c r="A61" s="372"/>
      <c r="B61" s="255">
        <v>2</v>
      </c>
      <c r="C61" s="253" t="s">
        <v>509</v>
      </c>
      <c r="D61" s="255" t="s">
        <v>510</v>
      </c>
      <c r="E61" s="257" t="s">
        <v>511</v>
      </c>
      <c r="F61" s="257" t="s">
        <v>512</v>
      </c>
      <c r="G61" s="257">
        <v>145.9</v>
      </c>
      <c r="H61" s="257" t="s">
        <v>47</v>
      </c>
      <c r="I61" s="257">
        <v>3.9</v>
      </c>
      <c r="J61" s="257">
        <v>-23.8</v>
      </c>
      <c r="K61" s="257">
        <v>-18.6</v>
      </c>
      <c r="L61" s="257">
        <v>-27.2</v>
      </c>
      <c r="M61" s="257">
        <v>67</v>
      </c>
      <c r="N61" s="257">
        <v>31.1</v>
      </c>
      <c r="O61" s="257">
        <v>23.5</v>
      </c>
      <c r="P61" s="257">
        <v>26.7</v>
      </c>
      <c r="Q61" s="257">
        <v>58</v>
      </c>
      <c r="R61" s="257">
        <v>26.7</v>
      </c>
      <c r="S61" s="257">
        <v>3</v>
      </c>
      <c r="T61" s="257" t="s">
        <v>296</v>
      </c>
      <c r="U61" s="257">
        <v>10</v>
      </c>
      <c r="V61" s="257">
        <v>3.8</v>
      </c>
      <c r="W61" s="257">
        <v>2.6</v>
      </c>
      <c r="X61" s="257" t="s">
        <v>71</v>
      </c>
      <c r="Y61" s="257">
        <v>13</v>
      </c>
      <c r="Z61" s="257">
        <v>3.1</v>
      </c>
      <c r="AA61" s="257" t="s">
        <v>71</v>
      </c>
      <c r="AB61" s="257">
        <v>10</v>
      </c>
      <c r="AC61" s="257">
        <v>68</v>
      </c>
      <c r="AD61" s="257">
        <v>209</v>
      </c>
      <c r="AE61" s="257">
        <v>1005</v>
      </c>
      <c r="AF61" s="257">
        <v>987.9</v>
      </c>
      <c r="AG61" s="257">
        <v>181</v>
      </c>
      <c r="AH61" s="257" t="s">
        <v>513</v>
      </c>
      <c r="AI61" s="257">
        <v>-9.5</v>
      </c>
      <c r="AJ61" s="257">
        <v>198</v>
      </c>
      <c r="AK61" s="257" t="s">
        <v>514</v>
      </c>
      <c r="AL61" s="257">
        <v>-8.1</v>
      </c>
      <c r="AM61" s="257">
        <v>40.1</v>
      </c>
      <c r="AN61" s="270">
        <v>-36.4</v>
      </c>
    </row>
    <row r="62" ht="20.2" customHeight="1" spans="1:40">
      <c r="A62" s="372"/>
      <c r="B62" s="255">
        <v>3</v>
      </c>
      <c r="C62" s="253" t="s">
        <v>515</v>
      </c>
      <c r="D62" s="255" t="s">
        <v>516</v>
      </c>
      <c r="E62" s="257" t="s">
        <v>517</v>
      </c>
      <c r="F62" s="257" t="s">
        <v>518</v>
      </c>
      <c r="G62" s="257">
        <v>238.3</v>
      </c>
      <c r="H62" s="257" t="s">
        <v>47</v>
      </c>
      <c r="I62" s="257">
        <v>4.2</v>
      </c>
      <c r="J62" s="257">
        <v>-21.5</v>
      </c>
      <c r="K62" s="257">
        <v>-16.4</v>
      </c>
      <c r="L62" s="257">
        <v>-24.4</v>
      </c>
      <c r="M62" s="257">
        <v>64</v>
      </c>
      <c r="N62" s="257">
        <v>30.5</v>
      </c>
      <c r="O62" s="257">
        <v>23.2</v>
      </c>
      <c r="P62" s="257">
        <v>26.3</v>
      </c>
      <c r="Q62" s="257">
        <v>61</v>
      </c>
      <c r="R62" s="257">
        <v>25.7</v>
      </c>
      <c r="S62" s="257">
        <v>2.3</v>
      </c>
      <c r="T62" s="257" t="s">
        <v>92</v>
      </c>
      <c r="U62" s="257" t="s">
        <v>519</v>
      </c>
      <c r="V62" s="257">
        <v>3</v>
      </c>
      <c r="W62" s="257">
        <v>3.5</v>
      </c>
      <c r="X62" s="257" t="s">
        <v>482</v>
      </c>
      <c r="Y62" s="257">
        <v>31</v>
      </c>
      <c r="Z62" s="257">
        <v>4.7</v>
      </c>
      <c r="AA62" s="257" t="s">
        <v>482</v>
      </c>
      <c r="AB62" s="257">
        <v>20</v>
      </c>
      <c r="AC62" s="257">
        <v>63</v>
      </c>
      <c r="AD62" s="257">
        <v>238</v>
      </c>
      <c r="AE62" s="257">
        <v>991.9</v>
      </c>
      <c r="AF62" s="257">
        <v>979.7</v>
      </c>
      <c r="AG62" s="257">
        <v>179</v>
      </c>
      <c r="AH62" s="257" t="s">
        <v>520</v>
      </c>
      <c r="AI62" s="257">
        <v>-8.3</v>
      </c>
      <c r="AJ62" s="257">
        <v>195</v>
      </c>
      <c r="AK62" s="257" t="s">
        <v>521</v>
      </c>
      <c r="AL62" s="257">
        <v>-7</v>
      </c>
      <c r="AM62" s="257">
        <v>37.6</v>
      </c>
      <c r="AN62" s="270">
        <v>-32.5</v>
      </c>
    </row>
    <row r="63" ht="20.2" customHeight="1" spans="1:40">
      <c r="A63" s="372"/>
      <c r="B63" s="255">
        <v>4</v>
      </c>
      <c r="C63" s="253" t="s">
        <v>522</v>
      </c>
      <c r="D63" s="255" t="s">
        <v>523</v>
      </c>
      <c r="E63" s="257" t="s">
        <v>524</v>
      </c>
      <c r="F63" s="257" t="s">
        <v>525</v>
      </c>
      <c r="G63" s="257">
        <v>227.9</v>
      </c>
      <c r="H63" s="257" t="s">
        <v>47</v>
      </c>
      <c r="I63" s="257">
        <v>3.5</v>
      </c>
      <c r="J63" s="257">
        <v>-22.7</v>
      </c>
      <c r="K63" s="257">
        <v>-17.2</v>
      </c>
      <c r="L63" s="257">
        <v>-25.3</v>
      </c>
      <c r="M63" s="257">
        <v>63</v>
      </c>
      <c r="N63" s="257">
        <v>29.9</v>
      </c>
      <c r="O63" s="257">
        <v>22.7</v>
      </c>
      <c r="P63" s="257">
        <v>25.5</v>
      </c>
      <c r="Q63" s="257">
        <v>62</v>
      </c>
      <c r="R63" s="257">
        <v>25.6</v>
      </c>
      <c r="S63" s="257">
        <v>2.9</v>
      </c>
      <c r="T63" s="257" t="s">
        <v>90</v>
      </c>
      <c r="U63" s="257" t="s">
        <v>526</v>
      </c>
      <c r="V63" s="257">
        <v>3.2</v>
      </c>
      <c r="W63" s="257">
        <v>3.1</v>
      </c>
      <c r="X63" s="257" t="s">
        <v>297</v>
      </c>
      <c r="Y63" s="257">
        <v>21</v>
      </c>
      <c r="Z63" s="257">
        <v>4.3</v>
      </c>
      <c r="AA63" s="257" t="s">
        <v>297</v>
      </c>
      <c r="AB63" s="257">
        <v>13</v>
      </c>
      <c r="AC63" s="257">
        <v>63</v>
      </c>
      <c r="AD63" s="257">
        <v>221</v>
      </c>
      <c r="AE63" s="257">
        <v>991.3</v>
      </c>
      <c r="AF63" s="257">
        <v>979.5</v>
      </c>
      <c r="AG63" s="257">
        <v>184</v>
      </c>
      <c r="AH63" s="257" t="s">
        <v>527</v>
      </c>
      <c r="AI63" s="257">
        <v>-9</v>
      </c>
      <c r="AJ63" s="257">
        <v>206</v>
      </c>
      <c r="AK63" s="257" t="s">
        <v>528</v>
      </c>
      <c r="AL63" s="257">
        <v>-7.3</v>
      </c>
      <c r="AM63" s="257">
        <v>37.7</v>
      </c>
      <c r="AN63" s="270">
        <v>-34.5</v>
      </c>
    </row>
    <row r="64" ht="20.2" customHeight="1" spans="1:40">
      <c r="A64" s="372"/>
      <c r="B64" s="246">
        <v>5</v>
      </c>
      <c r="C64" s="253" t="s">
        <v>529</v>
      </c>
      <c r="D64" s="255" t="s">
        <v>530</v>
      </c>
      <c r="E64" s="257" t="s">
        <v>531</v>
      </c>
      <c r="F64" s="257" t="s">
        <v>532</v>
      </c>
      <c r="G64" s="257">
        <v>240.9</v>
      </c>
      <c r="H64" s="257" t="s">
        <v>47</v>
      </c>
      <c r="I64" s="257">
        <v>1.2</v>
      </c>
      <c r="J64" s="257">
        <v>-28.3</v>
      </c>
      <c r="K64" s="257">
        <v>-22.5</v>
      </c>
      <c r="L64" s="257">
        <v>-31.3</v>
      </c>
      <c r="M64" s="257">
        <v>73</v>
      </c>
      <c r="N64" s="257">
        <v>29.8</v>
      </c>
      <c r="O64" s="257">
        <v>22.5</v>
      </c>
      <c r="P64" s="257">
        <v>25.7</v>
      </c>
      <c r="Q64" s="257">
        <v>60</v>
      </c>
      <c r="R64" s="257">
        <v>24</v>
      </c>
      <c r="S64" s="257">
        <v>2</v>
      </c>
      <c r="T64" s="257" t="s">
        <v>198</v>
      </c>
      <c r="U64" s="257" t="s">
        <v>62</v>
      </c>
      <c r="V64" s="257">
        <v>2</v>
      </c>
      <c r="W64" s="257">
        <v>1.8</v>
      </c>
      <c r="X64" s="257" t="s">
        <v>92</v>
      </c>
      <c r="Y64" s="257" t="s">
        <v>533</v>
      </c>
      <c r="Z64" s="257">
        <v>3.2</v>
      </c>
      <c r="AA64" s="257" t="s">
        <v>92</v>
      </c>
      <c r="AB64" s="257" t="s">
        <v>534</v>
      </c>
      <c r="AC64" s="257">
        <v>58</v>
      </c>
      <c r="AD64" s="257">
        <v>278</v>
      </c>
      <c r="AE64" s="257">
        <v>991.8</v>
      </c>
      <c r="AF64" s="257">
        <v>978.5</v>
      </c>
      <c r="AG64" s="257">
        <v>190</v>
      </c>
      <c r="AH64" s="257" t="s">
        <v>535</v>
      </c>
      <c r="AI64" s="257">
        <v>-11.8</v>
      </c>
      <c r="AJ64" s="257">
        <v>212</v>
      </c>
      <c r="AK64" s="257" t="s">
        <v>536</v>
      </c>
      <c r="AL64" s="257">
        <v>-9.9</v>
      </c>
      <c r="AM64" s="257">
        <v>36.3</v>
      </c>
      <c r="AN64" s="270">
        <v>-41.2</v>
      </c>
    </row>
    <row r="65" ht="20.2" customHeight="1" spans="1:40">
      <c r="A65" s="372"/>
      <c r="B65" s="255">
        <v>6</v>
      </c>
      <c r="C65" s="253" t="s">
        <v>537</v>
      </c>
      <c r="D65" s="255" t="s">
        <v>538</v>
      </c>
      <c r="E65" s="257" t="s">
        <v>539</v>
      </c>
      <c r="F65" s="257" t="s">
        <v>540</v>
      </c>
      <c r="G65" s="257">
        <v>81.2</v>
      </c>
      <c r="H65" s="257" t="s">
        <v>47</v>
      </c>
      <c r="I65" s="257">
        <v>3.6</v>
      </c>
      <c r="J65" s="257">
        <v>-24</v>
      </c>
      <c r="K65" s="257">
        <v>-18.5</v>
      </c>
      <c r="L65" s="257">
        <v>-27.4</v>
      </c>
      <c r="M65" s="257">
        <v>70</v>
      </c>
      <c r="N65" s="257">
        <v>30.8</v>
      </c>
      <c r="O65" s="257">
        <v>23.6</v>
      </c>
      <c r="P65" s="257">
        <v>26.6</v>
      </c>
      <c r="Q65" s="257">
        <v>61</v>
      </c>
      <c r="R65" s="257">
        <v>26</v>
      </c>
      <c r="S65" s="257">
        <v>2.8</v>
      </c>
      <c r="T65" s="257" t="s">
        <v>285</v>
      </c>
      <c r="U65" s="257" t="s">
        <v>541</v>
      </c>
      <c r="V65" s="257">
        <v>3.7</v>
      </c>
      <c r="W65" s="257">
        <v>3.1</v>
      </c>
      <c r="X65" s="257" t="s">
        <v>288</v>
      </c>
      <c r="Y65" s="257" t="s">
        <v>542</v>
      </c>
      <c r="Z65" s="257">
        <v>4.1</v>
      </c>
      <c r="AA65" s="257" t="s">
        <v>285</v>
      </c>
      <c r="AB65" s="257" t="s">
        <v>543</v>
      </c>
      <c r="AC65" s="257">
        <v>57</v>
      </c>
      <c r="AD65" s="257">
        <v>220</v>
      </c>
      <c r="AE65" s="257">
        <v>1011.3</v>
      </c>
      <c r="AF65" s="257">
        <v>996.4</v>
      </c>
      <c r="AG65" s="257">
        <v>180</v>
      </c>
      <c r="AH65" s="257" t="s">
        <v>424</v>
      </c>
      <c r="AI65" s="257">
        <v>-9.6</v>
      </c>
      <c r="AJ65" s="257">
        <v>198</v>
      </c>
      <c r="AK65" s="257" t="s">
        <v>514</v>
      </c>
      <c r="AL65" s="257">
        <v>-8.1</v>
      </c>
      <c r="AM65" s="257">
        <v>38.1</v>
      </c>
      <c r="AN65" s="270">
        <v>-39.5</v>
      </c>
    </row>
    <row r="66" ht="20.2" customHeight="1" spans="1:40">
      <c r="A66" s="372"/>
      <c r="B66" s="255">
        <v>7</v>
      </c>
      <c r="C66" s="253" t="s">
        <v>544</v>
      </c>
      <c r="D66" s="255" t="s">
        <v>545</v>
      </c>
      <c r="E66" s="257" t="s">
        <v>546</v>
      </c>
      <c r="F66" s="257" t="s">
        <v>547</v>
      </c>
      <c r="G66" s="257">
        <v>241.4</v>
      </c>
      <c r="H66" s="257" t="s">
        <v>47</v>
      </c>
      <c r="I66" s="257">
        <v>4.3</v>
      </c>
      <c r="J66" s="257">
        <v>-22.4</v>
      </c>
      <c r="K66" s="257">
        <v>-17.3</v>
      </c>
      <c r="L66" s="257">
        <v>-25.8</v>
      </c>
      <c r="M66" s="257">
        <v>69</v>
      </c>
      <c r="N66" s="257">
        <v>31</v>
      </c>
      <c r="O66" s="257">
        <v>23.5</v>
      </c>
      <c r="P66" s="257">
        <v>26.9</v>
      </c>
      <c r="Q66" s="257">
        <v>59</v>
      </c>
      <c r="R66" s="257">
        <v>25.9</v>
      </c>
      <c r="S66" s="257">
        <v>2.1</v>
      </c>
      <c r="T66" s="257" t="s">
        <v>285</v>
      </c>
      <c r="U66" s="257" t="s">
        <v>548</v>
      </c>
      <c r="V66" s="257">
        <v>2.6</v>
      </c>
      <c r="W66" s="257">
        <v>2.2</v>
      </c>
      <c r="X66" s="257" t="s">
        <v>285</v>
      </c>
      <c r="Y66" s="257" t="s">
        <v>549</v>
      </c>
      <c r="Z66" s="257">
        <v>2.3</v>
      </c>
      <c r="AA66" s="257" t="s">
        <v>285</v>
      </c>
      <c r="AB66" s="257" t="s">
        <v>550</v>
      </c>
      <c r="AC66" s="257">
        <v>56</v>
      </c>
      <c r="AD66" s="257">
        <v>191</v>
      </c>
      <c r="AE66" s="257">
        <v>992.2</v>
      </c>
      <c r="AF66" s="257">
        <v>978.9</v>
      </c>
      <c r="AG66" s="257">
        <v>177</v>
      </c>
      <c r="AH66" s="257" t="s">
        <v>551</v>
      </c>
      <c r="AI66" s="257">
        <v>-8.6</v>
      </c>
      <c r="AJ66" s="257">
        <v>194</v>
      </c>
      <c r="AK66" s="257" t="s">
        <v>552</v>
      </c>
      <c r="AL66" s="257">
        <v>-7.3</v>
      </c>
      <c r="AM66" s="257">
        <v>38.4</v>
      </c>
      <c r="AN66" s="270">
        <v>-35.1</v>
      </c>
    </row>
    <row r="67" s="298" customFormat="1" ht="20.2" customHeight="1" spans="1:40">
      <c r="A67" s="372"/>
      <c r="B67" s="255">
        <v>8</v>
      </c>
      <c r="C67" s="253" t="s">
        <v>553</v>
      </c>
      <c r="D67" s="255" t="s">
        <v>554</v>
      </c>
      <c r="E67" s="390" t="s">
        <v>555</v>
      </c>
      <c r="F67" s="390" t="s">
        <v>556</v>
      </c>
      <c r="G67" s="390">
        <v>83</v>
      </c>
      <c r="H67" s="390" t="s">
        <v>47</v>
      </c>
      <c r="I67" s="390">
        <v>4.1</v>
      </c>
      <c r="J67" s="390">
        <v>-23.2</v>
      </c>
      <c r="K67" s="390">
        <v>-17.5</v>
      </c>
      <c r="L67" s="390">
        <v>-26.4</v>
      </c>
      <c r="M67" s="390">
        <v>65</v>
      </c>
      <c r="N67" s="390">
        <v>30.8</v>
      </c>
      <c r="O67" s="390">
        <v>23.4</v>
      </c>
      <c r="P67" s="390">
        <v>26.4</v>
      </c>
      <c r="Q67" s="390">
        <v>61</v>
      </c>
      <c r="R67" s="390">
        <v>26.1</v>
      </c>
      <c r="S67" s="390">
        <v>3.1</v>
      </c>
      <c r="T67" s="390" t="s">
        <v>296</v>
      </c>
      <c r="U67" s="390">
        <v>18</v>
      </c>
      <c r="V67" s="390">
        <v>3.5</v>
      </c>
      <c r="W67" s="390">
        <v>3.7</v>
      </c>
      <c r="X67" s="390" t="s">
        <v>202</v>
      </c>
      <c r="Y67" s="390" t="s">
        <v>548</v>
      </c>
      <c r="Z67" s="390">
        <v>6.4</v>
      </c>
      <c r="AA67" s="390" t="s">
        <v>296</v>
      </c>
      <c r="AB67" s="390">
        <v>14</v>
      </c>
      <c r="AC67" s="390">
        <v>61</v>
      </c>
      <c r="AD67" s="390">
        <v>260</v>
      </c>
      <c r="AE67" s="390">
        <v>1010.5</v>
      </c>
      <c r="AF67" s="390">
        <v>996.7</v>
      </c>
      <c r="AG67" s="390">
        <v>179</v>
      </c>
      <c r="AH67" s="390" t="s">
        <v>520</v>
      </c>
      <c r="AI67" s="390">
        <v>-8.9</v>
      </c>
      <c r="AJ67" s="390">
        <v>194</v>
      </c>
      <c r="AK67" s="390" t="s">
        <v>557</v>
      </c>
      <c r="AL67" s="390">
        <v>-7.7</v>
      </c>
      <c r="AM67" s="390">
        <v>37.2</v>
      </c>
      <c r="AN67" s="391">
        <v>-37</v>
      </c>
    </row>
    <row r="68" ht="20.2" customHeight="1" spans="1:40">
      <c r="A68" s="372"/>
      <c r="B68" s="255">
        <v>9</v>
      </c>
      <c r="C68" s="253" t="s">
        <v>558</v>
      </c>
      <c r="D68" s="255" t="s">
        <v>559</v>
      </c>
      <c r="E68" s="257" t="s">
        <v>560</v>
      </c>
      <c r="F68" s="257" t="s">
        <v>561</v>
      </c>
      <c r="G68" s="257">
        <v>166.4</v>
      </c>
      <c r="H68" s="257" t="s">
        <v>47</v>
      </c>
      <c r="I68" s="257">
        <v>0.4</v>
      </c>
      <c r="J68" s="257">
        <v>-29.5</v>
      </c>
      <c r="K68" s="257">
        <v>-23.2</v>
      </c>
      <c r="L68" s="257">
        <v>-33.2</v>
      </c>
      <c r="M68" s="257">
        <v>70</v>
      </c>
      <c r="N68" s="257">
        <v>29.4</v>
      </c>
      <c r="O68" s="257">
        <v>22.3</v>
      </c>
      <c r="P68" s="257">
        <v>25.1</v>
      </c>
      <c r="Q68" s="257">
        <v>62</v>
      </c>
      <c r="R68" s="257">
        <v>24.2</v>
      </c>
      <c r="S68" s="257">
        <v>2.6</v>
      </c>
      <c r="T68" s="257" t="s">
        <v>202</v>
      </c>
      <c r="U68" s="257" t="s">
        <v>562</v>
      </c>
      <c r="V68" s="257">
        <v>2.8</v>
      </c>
      <c r="W68" s="257">
        <v>2.8</v>
      </c>
      <c r="X68" s="257" t="s">
        <v>71</v>
      </c>
      <c r="Y68" s="257">
        <v>41</v>
      </c>
      <c r="Z68" s="257">
        <v>3.4</v>
      </c>
      <c r="AA68" s="257" t="s">
        <v>71</v>
      </c>
      <c r="AB68" s="257">
        <v>27</v>
      </c>
      <c r="AC68" s="257">
        <v>69</v>
      </c>
      <c r="AD68" s="257">
        <v>263</v>
      </c>
      <c r="AE68" s="257">
        <v>1000.6</v>
      </c>
      <c r="AF68" s="257">
        <v>986.2</v>
      </c>
      <c r="AG68" s="257">
        <v>197</v>
      </c>
      <c r="AH68" s="257" t="s">
        <v>563</v>
      </c>
      <c r="AI68" s="257">
        <v>-12.5</v>
      </c>
      <c r="AJ68" s="257">
        <v>219</v>
      </c>
      <c r="AK68" s="257" t="s">
        <v>564</v>
      </c>
      <c r="AL68" s="257">
        <v>-10.6</v>
      </c>
      <c r="AM68" s="257">
        <v>37.2</v>
      </c>
      <c r="AN68" s="270">
        <v>-44.5</v>
      </c>
    </row>
    <row r="69" ht="20.2" customHeight="1" spans="1:40">
      <c r="A69" s="372"/>
      <c r="B69" s="255">
        <v>10</v>
      </c>
      <c r="C69" s="413" t="s">
        <v>565</v>
      </c>
      <c r="D69" s="255" t="s">
        <v>566</v>
      </c>
      <c r="E69" s="257" t="s">
        <v>567</v>
      </c>
      <c r="F69" s="257" t="s">
        <v>568</v>
      </c>
      <c r="G69" s="257">
        <v>179.6</v>
      </c>
      <c r="H69" s="257" t="s">
        <v>47</v>
      </c>
      <c r="I69" s="257">
        <v>2.8</v>
      </c>
      <c r="J69" s="257">
        <v>-26.7</v>
      </c>
      <c r="K69" s="257">
        <v>-20.9</v>
      </c>
      <c r="L69" s="257">
        <v>-30.3</v>
      </c>
      <c r="M69" s="257">
        <v>76</v>
      </c>
      <c r="N69" s="257">
        <v>30.1</v>
      </c>
      <c r="O69" s="257">
        <v>23.4</v>
      </c>
      <c r="P69" s="257">
        <v>26.2</v>
      </c>
      <c r="Q69" s="257">
        <v>63</v>
      </c>
      <c r="R69" s="257">
        <v>25.6</v>
      </c>
      <c r="S69" s="257">
        <v>3.5</v>
      </c>
      <c r="T69" s="257" t="s">
        <v>70</v>
      </c>
      <c r="U69" s="257">
        <v>11</v>
      </c>
      <c r="V69" s="257">
        <v>3.6</v>
      </c>
      <c r="W69" s="257">
        <v>3.2</v>
      </c>
      <c r="X69" s="257" t="s">
        <v>71</v>
      </c>
      <c r="Y69" s="257">
        <v>9</v>
      </c>
      <c r="Z69" s="257">
        <v>3.3</v>
      </c>
      <c r="AA69" s="257" t="s">
        <v>296</v>
      </c>
      <c r="AB69" s="257">
        <v>10</v>
      </c>
      <c r="AC69" s="257">
        <v>66</v>
      </c>
      <c r="AD69" s="257">
        <v>715</v>
      </c>
      <c r="AE69" s="257">
        <v>1000.4</v>
      </c>
      <c r="AF69" s="257">
        <v>984.9</v>
      </c>
      <c r="AG69" s="257">
        <v>184</v>
      </c>
      <c r="AH69" s="257" t="s">
        <v>298</v>
      </c>
      <c r="AI69" s="257">
        <v>-10.8</v>
      </c>
      <c r="AJ69" s="257">
        <v>206</v>
      </c>
      <c r="AK69" s="257" t="s">
        <v>336</v>
      </c>
      <c r="AL69" s="257">
        <v>-8.9</v>
      </c>
      <c r="AM69" s="257">
        <v>38.3</v>
      </c>
      <c r="AN69" s="270">
        <v>-41.8</v>
      </c>
    </row>
    <row r="70" ht="20.2" customHeight="1" spans="1:40">
      <c r="A70" s="372"/>
      <c r="B70" s="246">
        <v>11</v>
      </c>
      <c r="C70" s="414" t="s">
        <v>569</v>
      </c>
      <c r="D70" s="255" t="s">
        <v>570</v>
      </c>
      <c r="E70" s="257" t="s">
        <v>571</v>
      </c>
      <c r="F70" s="257" t="s">
        <v>572</v>
      </c>
      <c r="G70" s="257">
        <v>433</v>
      </c>
      <c r="H70" s="257" t="s">
        <v>47</v>
      </c>
      <c r="I70" s="257">
        <v>-4.3</v>
      </c>
      <c r="J70" s="257">
        <v>-37.5</v>
      </c>
      <c r="K70" s="257">
        <v>-29.6</v>
      </c>
      <c r="L70" s="257">
        <v>-41</v>
      </c>
      <c r="M70" s="257">
        <v>73</v>
      </c>
      <c r="N70" s="257">
        <v>29.1</v>
      </c>
      <c r="O70" s="257">
        <v>20.8</v>
      </c>
      <c r="P70" s="257">
        <v>24.4</v>
      </c>
      <c r="Q70" s="257">
        <v>57</v>
      </c>
      <c r="R70" s="257">
        <v>21.6</v>
      </c>
      <c r="S70" s="257">
        <v>1.9</v>
      </c>
      <c r="T70" s="257" t="s">
        <v>573</v>
      </c>
      <c r="U70" s="257" t="s">
        <v>574</v>
      </c>
      <c r="V70" s="257">
        <v>2.9</v>
      </c>
      <c r="W70" s="257">
        <v>1.3</v>
      </c>
      <c r="X70" s="257" t="s">
        <v>50</v>
      </c>
      <c r="Y70" s="257" t="s">
        <v>575</v>
      </c>
      <c r="Z70" s="257">
        <v>3</v>
      </c>
      <c r="AA70" s="257" t="s">
        <v>132</v>
      </c>
      <c r="AB70" s="257" t="s">
        <v>576</v>
      </c>
      <c r="AC70" s="257">
        <v>60</v>
      </c>
      <c r="AD70" s="257" t="s">
        <v>577</v>
      </c>
      <c r="AE70" s="257">
        <v>984.1</v>
      </c>
      <c r="AF70" s="257">
        <v>969.4</v>
      </c>
      <c r="AG70" s="257">
        <v>224</v>
      </c>
      <c r="AH70" s="257" t="s">
        <v>578</v>
      </c>
      <c r="AI70" s="257">
        <v>-16.1</v>
      </c>
      <c r="AJ70" s="257">
        <v>244</v>
      </c>
      <c r="AK70" s="257" t="s">
        <v>579</v>
      </c>
      <c r="AL70" s="257">
        <v>-14.2</v>
      </c>
      <c r="AM70" s="257">
        <v>38</v>
      </c>
      <c r="AN70" s="270">
        <v>-49.6</v>
      </c>
    </row>
    <row r="71" s="300" customFormat="1" ht="20.2" customHeight="1" spans="1:40">
      <c r="A71" s="399"/>
      <c r="B71" s="402">
        <v>12</v>
      </c>
      <c r="C71" s="415"/>
      <c r="D71" s="402" t="s">
        <v>580</v>
      </c>
      <c r="E71" s="402" t="s">
        <v>581</v>
      </c>
      <c r="F71" s="402" t="s">
        <v>582</v>
      </c>
      <c r="G71" s="402">
        <v>371.7</v>
      </c>
      <c r="H71" s="402" t="s">
        <v>47</v>
      </c>
      <c r="I71" s="402">
        <v>-0.8</v>
      </c>
      <c r="J71" s="402">
        <v>-29.7</v>
      </c>
      <c r="K71" s="402">
        <v>-23.3</v>
      </c>
      <c r="L71" s="402">
        <v>-32.9</v>
      </c>
      <c r="M71" s="402">
        <v>72</v>
      </c>
      <c r="N71" s="402">
        <v>28.9</v>
      </c>
      <c r="O71" s="402">
        <v>21.2</v>
      </c>
      <c r="P71" s="402">
        <v>24.2</v>
      </c>
      <c r="Q71" s="402">
        <v>61</v>
      </c>
      <c r="R71" s="402">
        <v>22.2</v>
      </c>
      <c r="S71" s="402">
        <v>2.2</v>
      </c>
      <c r="T71" s="402" t="s">
        <v>573</v>
      </c>
      <c r="U71" s="402" t="s">
        <v>583</v>
      </c>
      <c r="V71" s="402">
        <v>2.6</v>
      </c>
      <c r="W71" s="402">
        <v>1.6</v>
      </c>
      <c r="X71" s="402" t="s">
        <v>132</v>
      </c>
      <c r="Y71" s="402" t="s">
        <v>584</v>
      </c>
      <c r="Z71" s="402">
        <v>3.4</v>
      </c>
      <c r="AA71" s="402" t="s">
        <v>132</v>
      </c>
      <c r="AB71" s="402" t="s">
        <v>585</v>
      </c>
      <c r="AC71" s="402">
        <v>65</v>
      </c>
      <c r="AD71" s="402">
        <v>288</v>
      </c>
      <c r="AE71" s="402">
        <v>974.9</v>
      </c>
      <c r="AF71" s="402">
        <v>962.7</v>
      </c>
      <c r="AG71" s="402">
        <v>208</v>
      </c>
      <c r="AH71" s="402" t="s">
        <v>586</v>
      </c>
      <c r="AI71" s="402">
        <v>-12.4</v>
      </c>
      <c r="AJ71" s="402">
        <v>227</v>
      </c>
      <c r="AK71" s="402" t="s">
        <v>318</v>
      </c>
      <c r="AL71" s="402">
        <v>-10.8</v>
      </c>
      <c r="AM71" s="402">
        <v>37.2</v>
      </c>
      <c r="AN71" s="403">
        <v>-45.4</v>
      </c>
    </row>
    <row r="72" s="297" customFormat="1" ht="20.2" customHeight="1" spans="1:40">
      <c r="A72" s="416" t="s">
        <v>587</v>
      </c>
      <c r="B72" s="417">
        <v>1</v>
      </c>
      <c r="C72" s="388" t="s">
        <v>587</v>
      </c>
      <c r="D72" s="387" t="s">
        <v>588</v>
      </c>
      <c r="E72" s="387" t="s">
        <v>589</v>
      </c>
      <c r="F72" s="387" t="s">
        <v>590</v>
      </c>
      <c r="G72" s="387">
        <v>2.6</v>
      </c>
      <c r="H72" s="387" t="s">
        <v>591</v>
      </c>
      <c r="I72" s="387">
        <v>16.1</v>
      </c>
      <c r="J72" s="387">
        <v>-0.3</v>
      </c>
      <c r="K72" s="387">
        <v>4.2</v>
      </c>
      <c r="L72" s="387">
        <v>-2.2</v>
      </c>
      <c r="M72" s="387">
        <v>75</v>
      </c>
      <c r="N72" s="387">
        <v>34.4</v>
      </c>
      <c r="O72" s="387">
        <v>27.9</v>
      </c>
      <c r="P72" s="387">
        <v>31.2</v>
      </c>
      <c r="Q72" s="387">
        <v>69</v>
      </c>
      <c r="R72" s="387">
        <v>30.8</v>
      </c>
      <c r="S72" s="387">
        <v>3.1</v>
      </c>
      <c r="T72" s="387" t="s">
        <v>592</v>
      </c>
      <c r="U72" s="387">
        <v>14</v>
      </c>
      <c r="V72" s="387">
        <v>3</v>
      </c>
      <c r="W72" s="387">
        <v>2.6</v>
      </c>
      <c r="X72" s="387" t="s">
        <v>297</v>
      </c>
      <c r="Y72" s="387">
        <v>14</v>
      </c>
      <c r="Z72" s="387">
        <v>3</v>
      </c>
      <c r="AA72" s="387" t="s">
        <v>592</v>
      </c>
      <c r="AB72" s="387">
        <v>10</v>
      </c>
      <c r="AC72" s="387">
        <v>40</v>
      </c>
      <c r="AD72" s="387">
        <v>8</v>
      </c>
      <c r="AE72" s="387">
        <v>1025.4</v>
      </c>
      <c r="AF72" s="387">
        <v>1005.4</v>
      </c>
      <c r="AG72" s="387">
        <v>42</v>
      </c>
      <c r="AH72" s="387" t="s">
        <v>593</v>
      </c>
      <c r="AI72" s="387">
        <v>4.1</v>
      </c>
      <c r="AJ72" s="387">
        <v>93</v>
      </c>
      <c r="AK72" s="387" t="s">
        <v>594</v>
      </c>
      <c r="AL72" s="387">
        <v>5.2</v>
      </c>
      <c r="AM72" s="387">
        <v>39.4</v>
      </c>
      <c r="AN72" s="389">
        <v>-10.1</v>
      </c>
    </row>
    <row r="73" s="302" customFormat="1" ht="20.2" customHeight="1" spans="1:40">
      <c r="A73" s="386" t="s">
        <v>595</v>
      </c>
      <c r="B73" s="351">
        <v>1</v>
      </c>
      <c r="C73" s="407" t="s">
        <v>596</v>
      </c>
      <c r="D73" s="351" t="s">
        <v>597</v>
      </c>
      <c r="E73" s="351" t="s">
        <v>598</v>
      </c>
      <c r="F73" s="351" t="s">
        <v>599</v>
      </c>
      <c r="G73" s="418">
        <v>8.9</v>
      </c>
      <c r="H73" s="418" t="s">
        <v>47</v>
      </c>
      <c r="I73" s="351">
        <v>25.5</v>
      </c>
      <c r="J73" s="351">
        <v>-1.8</v>
      </c>
      <c r="K73" s="351">
        <v>2.4</v>
      </c>
      <c r="L73" s="351">
        <v>-4.1</v>
      </c>
      <c r="M73" s="351">
        <v>76</v>
      </c>
      <c r="N73" s="351">
        <v>34.8</v>
      </c>
      <c r="O73" s="351">
        <v>28.1</v>
      </c>
      <c r="P73" s="351">
        <v>31.2</v>
      </c>
      <c r="Q73" s="351">
        <v>69</v>
      </c>
      <c r="R73" s="351">
        <v>31.2</v>
      </c>
      <c r="S73" s="351">
        <v>2.6</v>
      </c>
      <c r="T73" s="351" t="s">
        <v>211</v>
      </c>
      <c r="U73" s="351" t="s">
        <v>600</v>
      </c>
      <c r="V73" s="351">
        <v>3</v>
      </c>
      <c r="W73" s="351">
        <v>2.4</v>
      </c>
      <c r="X73" s="351" t="s">
        <v>601</v>
      </c>
      <c r="Y73" s="351" t="s">
        <v>440</v>
      </c>
      <c r="Z73" s="351">
        <v>3.5</v>
      </c>
      <c r="AA73" s="351" t="s">
        <v>497</v>
      </c>
      <c r="AB73" s="351" t="s">
        <v>602</v>
      </c>
      <c r="AC73" s="351">
        <v>43</v>
      </c>
      <c r="AD73" s="351">
        <v>9</v>
      </c>
      <c r="AE73" s="351">
        <v>1025.5</v>
      </c>
      <c r="AF73" s="351">
        <v>1004.3</v>
      </c>
      <c r="AG73" s="351">
        <v>77</v>
      </c>
      <c r="AH73" s="351" t="s">
        <v>603</v>
      </c>
      <c r="AI73" s="351">
        <v>3.2</v>
      </c>
      <c r="AJ73" s="351">
        <v>109</v>
      </c>
      <c r="AK73" s="351" t="s">
        <v>604</v>
      </c>
      <c r="AL73" s="351">
        <v>4.2</v>
      </c>
      <c r="AM73" s="351">
        <v>39.7</v>
      </c>
      <c r="AN73" s="408">
        <v>-13.1</v>
      </c>
    </row>
    <row r="74" ht="20.2" customHeight="1" spans="1:40">
      <c r="A74" s="239"/>
      <c r="B74" s="255">
        <v>2</v>
      </c>
      <c r="C74" s="253" t="s">
        <v>605</v>
      </c>
      <c r="D74" s="255" t="s">
        <v>606</v>
      </c>
      <c r="E74" s="257" t="s">
        <v>607</v>
      </c>
      <c r="F74" s="257" t="s">
        <v>608</v>
      </c>
      <c r="G74" s="261">
        <v>41</v>
      </c>
      <c r="H74" s="261" t="s">
        <v>47</v>
      </c>
      <c r="I74" s="257">
        <v>14.5</v>
      </c>
      <c r="J74" s="257">
        <v>-3.6</v>
      </c>
      <c r="K74" s="257">
        <v>0.4</v>
      </c>
      <c r="L74" s="257">
        <v>-5.9</v>
      </c>
      <c r="M74" s="257">
        <v>66</v>
      </c>
      <c r="N74" s="257">
        <v>34.3</v>
      </c>
      <c r="O74" s="257">
        <v>27.6</v>
      </c>
      <c r="P74" s="257">
        <v>30.5</v>
      </c>
      <c r="Q74" s="257">
        <v>67</v>
      </c>
      <c r="R74" s="257">
        <v>30.5</v>
      </c>
      <c r="S74" s="257">
        <v>2.6</v>
      </c>
      <c r="T74" s="257" t="s">
        <v>90</v>
      </c>
      <c r="U74" s="257" t="s">
        <v>170</v>
      </c>
      <c r="V74" s="257">
        <v>3.5</v>
      </c>
      <c r="W74" s="257">
        <v>2.3</v>
      </c>
      <c r="X74" s="257" t="s">
        <v>497</v>
      </c>
      <c r="Y74" s="257" t="s">
        <v>609</v>
      </c>
      <c r="Z74" s="257">
        <v>3</v>
      </c>
      <c r="AA74" s="257" t="s">
        <v>497</v>
      </c>
      <c r="AB74" s="257" t="s">
        <v>541</v>
      </c>
      <c r="AC74" s="257">
        <v>48</v>
      </c>
      <c r="AD74" s="257">
        <v>21</v>
      </c>
      <c r="AE74" s="257">
        <v>1022.1</v>
      </c>
      <c r="AF74" s="257">
        <v>1000.8</v>
      </c>
      <c r="AG74" s="257">
        <v>97</v>
      </c>
      <c r="AH74" s="257" t="s">
        <v>610</v>
      </c>
      <c r="AI74" s="257">
        <v>2</v>
      </c>
      <c r="AJ74" s="257">
        <v>124</v>
      </c>
      <c r="AK74" s="257" t="s">
        <v>611</v>
      </c>
      <c r="AL74" s="257">
        <v>3</v>
      </c>
      <c r="AM74" s="257">
        <v>40.6</v>
      </c>
      <c r="AN74" s="270">
        <v>-15.8</v>
      </c>
    </row>
    <row r="75" ht="20.2" customHeight="1" spans="1:40">
      <c r="A75" s="239"/>
      <c r="B75" s="255">
        <v>3</v>
      </c>
      <c r="C75" s="253" t="s">
        <v>612</v>
      </c>
      <c r="D75" s="255" t="s">
        <v>613</v>
      </c>
      <c r="E75" s="257" t="s">
        <v>614</v>
      </c>
      <c r="F75" s="257" t="s">
        <v>615</v>
      </c>
      <c r="G75" s="261">
        <v>6.1</v>
      </c>
      <c r="H75" s="261" t="s">
        <v>47</v>
      </c>
      <c r="I75" s="257">
        <v>15.3</v>
      </c>
      <c r="J75" s="257">
        <v>-1</v>
      </c>
      <c r="K75" s="257">
        <v>3.1</v>
      </c>
      <c r="L75" s="257">
        <v>-3</v>
      </c>
      <c r="M75" s="257">
        <v>75</v>
      </c>
      <c r="N75" s="257">
        <v>33.5</v>
      </c>
      <c r="O75" s="257">
        <v>28.1</v>
      </c>
      <c r="P75" s="257">
        <v>30.5</v>
      </c>
      <c r="Q75" s="257">
        <v>72</v>
      </c>
      <c r="R75" s="257">
        <v>30.3</v>
      </c>
      <c r="S75" s="257">
        <v>3</v>
      </c>
      <c r="T75" s="257" t="s">
        <v>592</v>
      </c>
      <c r="U75" s="257">
        <v>13</v>
      </c>
      <c r="V75" s="257">
        <v>2.9</v>
      </c>
      <c r="W75" s="257">
        <v>3</v>
      </c>
      <c r="X75" s="257" t="s">
        <v>123</v>
      </c>
      <c r="Y75" s="257">
        <v>12</v>
      </c>
      <c r="Z75" s="257">
        <v>3.5</v>
      </c>
      <c r="AA75" s="257" t="s">
        <v>387</v>
      </c>
      <c r="AB75" s="257">
        <v>10</v>
      </c>
      <c r="AC75" s="257">
        <v>45</v>
      </c>
      <c r="AD75" s="257">
        <v>12</v>
      </c>
      <c r="AE75" s="257">
        <v>1025.9</v>
      </c>
      <c r="AF75" s="257">
        <v>1000.5</v>
      </c>
      <c r="AG75" s="257">
        <v>57</v>
      </c>
      <c r="AH75" s="257" t="s">
        <v>616</v>
      </c>
      <c r="AI75" s="257">
        <v>3.6</v>
      </c>
      <c r="AJ75" s="257">
        <v>110</v>
      </c>
      <c r="AK75" s="257" t="s">
        <v>617</v>
      </c>
      <c r="AL75" s="257">
        <v>4.7</v>
      </c>
      <c r="AM75" s="257">
        <v>38.5</v>
      </c>
      <c r="AN75" s="270">
        <v>-9.6</v>
      </c>
    </row>
    <row r="76" ht="20.2" customHeight="1" spans="1:40">
      <c r="A76" s="239"/>
      <c r="B76" s="255">
        <v>4</v>
      </c>
      <c r="C76" s="253" t="s">
        <v>618</v>
      </c>
      <c r="D76" s="255" t="s">
        <v>619</v>
      </c>
      <c r="E76" s="257" t="s">
        <v>620</v>
      </c>
      <c r="F76" s="257" t="s">
        <v>621</v>
      </c>
      <c r="G76" s="257">
        <v>3.3</v>
      </c>
      <c r="H76" s="257" t="s">
        <v>47</v>
      </c>
      <c r="I76" s="257">
        <v>13.6</v>
      </c>
      <c r="J76" s="257">
        <v>-4.2</v>
      </c>
      <c r="K76" s="257">
        <v>-0.3</v>
      </c>
      <c r="L76" s="257">
        <v>-6.4</v>
      </c>
      <c r="M76" s="257">
        <v>67</v>
      </c>
      <c r="N76" s="257">
        <v>32.7</v>
      </c>
      <c r="O76" s="257">
        <v>27.8</v>
      </c>
      <c r="P76" s="257">
        <v>29.1</v>
      </c>
      <c r="Q76" s="257">
        <v>75</v>
      </c>
      <c r="R76" s="257">
        <v>29.5</v>
      </c>
      <c r="S76" s="257">
        <v>2.9</v>
      </c>
      <c r="T76" s="257" t="s">
        <v>622</v>
      </c>
      <c r="U76" s="257">
        <v>12</v>
      </c>
      <c r="V76" s="257">
        <v>3.8</v>
      </c>
      <c r="W76" s="257">
        <v>2.6</v>
      </c>
      <c r="X76" s="257" t="s">
        <v>369</v>
      </c>
      <c r="Y76" s="257">
        <v>11</v>
      </c>
      <c r="Z76" s="257">
        <v>2.9</v>
      </c>
      <c r="AA76" s="257" t="s">
        <v>622</v>
      </c>
      <c r="AB76" s="257">
        <v>9</v>
      </c>
      <c r="AC76" s="257">
        <v>57</v>
      </c>
      <c r="AD76" s="257">
        <v>20</v>
      </c>
      <c r="AE76" s="257">
        <v>1026.3</v>
      </c>
      <c r="AF76" s="257">
        <v>1005.1</v>
      </c>
      <c r="AG76" s="257">
        <v>102</v>
      </c>
      <c r="AH76" s="257" t="s">
        <v>623</v>
      </c>
      <c r="AI76" s="257">
        <v>1.4</v>
      </c>
      <c r="AJ76" s="257">
        <v>134</v>
      </c>
      <c r="AK76" s="257" t="s">
        <v>624</v>
      </c>
      <c r="AL76" s="257">
        <v>2.6</v>
      </c>
      <c r="AM76" s="257">
        <v>38.7</v>
      </c>
      <c r="AN76" s="270">
        <v>-13.8</v>
      </c>
    </row>
    <row r="77" ht="20.2" customHeight="1" spans="1:40">
      <c r="A77" s="239"/>
      <c r="B77" s="246">
        <v>5</v>
      </c>
      <c r="C77" s="253" t="s">
        <v>625</v>
      </c>
      <c r="D77" s="255" t="s">
        <v>626</v>
      </c>
      <c r="E77" s="257" t="s">
        <v>627</v>
      </c>
      <c r="F77" s="257" t="s">
        <v>628</v>
      </c>
      <c r="G77" s="257">
        <v>4.9</v>
      </c>
      <c r="H77" s="257" t="s">
        <v>47</v>
      </c>
      <c r="I77" s="261">
        <v>15.8</v>
      </c>
      <c r="J77" s="257">
        <v>-1.2</v>
      </c>
      <c r="K77" s="257">
        <v>3.1</v>
      </c>
      <c r="L77" s="257">
        <v>-3.5</v>
      </c>
      <c r="M77" s="257">
        <v>75</v>
      </c>
      <c r="N77" s="257">
        <v>34.6</v>
      </c>
      <c r="O77" s="257">
        <v>28.1</v>
      </c>
      <c r="P77" s="257">
        <v>31.3</v>
      </c>
      <c r="Q77" s="257">
        <v>68</v>
      </c>
      <c r="R77" s="257">
        <v>31.5</v>
      </c>
      <c r="S77" s="257">
        <v>2.8</v>
      </c>
      <c r="T77" s="257" t="s">
        <v>592</v>
      </c>
      <c r="U77" s="257">
        <v>17</v>
      </c>
      <c r="V77" s="257">
        <v>3.1</v>
      </c>
      <c r="W77" s="257">
        <v>2.4</v>
      </c>
      <c r="X77" s="257" t="s">
        <v>162</v>
      </c>
      <c r="Y77" s="257">
        <v>9</v>
      </c>
      <c r="Z77" s="257">
        <v>3</v>
      </c>
      <c r="AA77" s="257" t="s">
        <v>592</v>
      </c>
      <c r="AB77" s="257">
        <v>13</v>
      </c>
      <c r="AC77" s="257">
        <v>42</v>
      </c>
      <c r="AD77" s="257">
        <v>12</v>
      </c>
      <c r="AE77" s="257">
        <v>1026.1</v>
      </c>
      <c r="AF77" s="257">
        <v>1005.3</v>
      </c>
      <c r="AG77" s="257">
        <v>56</v>
      </c>
      <c r="AH77" s="257" t="s">
        <v>629</v>
      </c>
      <c r="AI77" s="257">
        <v>3.6</v>
      </c>
      <c r="AJ77" s="257">
        <v>102</v>
      </c>
      <c r="AK77" s="257" t="s">
        <v>630</v>
      </c>
      <c r="AL77" s="257">
        <v>4.7</v>
      </c>
      <c r="AM77" s="257">
        <v>39.4</v>
      </c>
      <c r="AN77" s="270">
        <v>-12.8</v>
      </c>
    </row>
    <row r="78" ht="20.2" customHeight="1" spans="1:40">
      <c r="A78" s="239"/>
      <c r="B78" s="255">
        <v>6</v>
      </c>
      <c r="C78" s="253" t="s">
        <v>631</v>
      </c>
      <c r="D78" s="255" t="s">
        <v>632</v>
      </c>
      <c r="E78" s="257" t="s">
        <v>633</v>
      </c>
      <c r="F78" s="257" t="s">
        <v>634</v>
      </c>
      <c r="G78" s="257">
        <v>17.5</v>
      </c>
      <c r="H78" s="257" t="s">
        <v>47</v>
      </c>
      <c r="I78" s="261">
        <v>14.4</v>
      </c>
      <c r="J78" s="257">
        <v>-3.3</v>
      </c>
      <c r="K78" s="257">
        <v>1</v>
      </c>
      <c r="L78" s="257">
        <v>-5.6</v>
      </c>
      <c r="M78" s="257">
        <v>72</v>
      </c>
      <c r="N78" s="257">
        <v>33.4</v>
      </c>
      <c r="O78" s="257">
        <v>28.1</v>
      </c>
      <c r="P78" s="257">
        <v>29.9</v>
      </c>
      <c r="Q78" s="257">
        <v>72</v>
      </c>
      <c r="R78" s="257">
        <v>30.2</v>
      </c>
      <c r="S78" s="257">
        <v>2.6</v>
      </c>
      <c r="T78" s="257" t="s">
        <v>387</v>
      </c>
      <c r="U78" s="257">
        <v>12</v>
      </c>
      <c r="V78" s="257">
        <v>2.9</v>
      </c>
      <c r="W78" s="257">
        <v>2.5</v>
      </c>
      <c r="X78" s="257" t="s">
        <v>395</v>
      </c>
      <c r="Y78" s="257" t="s">
        <v>635</v>
      </c>
      <c r="Z78" s="257">
        <v>3.2</v>
      </c>
      <c r="AA78" s="257" t="s">
        <v>636</v>
      </c>
      <c r="AB78" s="257" t="s">
        <v>637</v>
      </c>
      <c r="AC78" s="257">
        <v>48</v>
      </c>
      <c r="AD78" s="257">
        <v>20</v>
      </c>
      <c r="AE78" s="257">
        <v>1025</v>
      </c>
      <c r="AF78" s="257">
        <v>1003.9</v>
      </c>
      <c r="AG78" s="257">
        <v>93</v>
      </c>
      <c r="AH78" s="257" t="s">
        <v>638</v>
      </c>
      <c r="AI78" s="257">
        <v>2.3</v>
      </c>
      <c r="AJ78" s="257">
        <v>130</v>
      </c>
      <c r="AK78" s="257" t="s">
        <v>639</v>
      </c>
      <c r="AL78" s="257">
        <v>3.7</v>
      </c>
      <c r="AM78" s="257">
        <v>38.2</v>
      </c>
      <c r="AN78" s="270">
        <v>-14.2</v>
      </c>
    </row>
    <row r="79" ht="20.2" customHeight="1" spans="1:40">
      <c r="A79" s="239"/>
      <c r="B79" s="255">
        <v>7</v>
      </c>
      <c r="C79" s="253" t="s">
        <v>640</v>
      </c>
      <c r="D79" s="255" t="s">
        <v>641</v>
      </c>
      <c r="E79" s="257" t="s">
        <v>642</v>
      </c>
      <c r="F79" s="257" t="s">
        <v>643</v>
      </c>
      <c r="G79" s="257">
        <v>2</v>
      </c>
      <c r="H79" s="257" t="s">
        <v>47</v>
      </c>
      <c r="I79" s="257">
        <v>14</v>
      </c>
      <c r="J79" s="257">
        <v>-3.1</v>
      </c>
      <c r="K79" s="257">
        <v>1.1</v>
      </c>
      <c r="L79" s="257">
        <v>-5</v>
      </c>
      <c r="M79" s="257">
        <v>74</v>
      </c>
      <c r="N79" s="257">
        <v>33.2</v>
      </c>
      <c r="O79" s="257">
        <v>28</v>
      </c>
      <c r="P79" s="257">
        <v>29.8</v>
      </c>
      <c r="Q79" s="257">
        <v>73</v>
      </c>
      <c r="R79" s="257">
        <v>29.7</v>
      </c>
      <c r="S79" s="257">
        <v>3.2</v>
      </c>
      <c r="T79" s="257" t="s">
        <v>70</v>
      </c>
      <c r="U79" s="257">
        <v>17</v>
      </c>
      <c r="V79" s="257">
        <v>3.4</v>
      </c>
      <c r="W79" s="257">
        <v>3.2</v>
      </c>
      <c r="X79" s="257" t="s">
        <v>123</v>
      </c>
      <c r="Y79" s="257">
        <v>11</v>
      </c>
      <c r="Z79" s="257">
        <v>4.2</v>
      </c>
      <c r="AA79" s="257" t="s">
        <v>70</v>
      </c>
      <c r="AB79" s="257">
        <v>11</v>
      </c>
      <c r="AC79" s="257">
        <v>50</v>
      </c>
      <c r="AD79" s="257">
        <v>21</v>
      </c>
      <c r="AE79" s="257">
        <v>1026.3</v>
      </c>
      <c r="AF79" s="257">
        <v>1005.6</v>
      </c>
      <c r="AG79" s="257">
        <v>94</v>
      </c>
      <c r="AH79" s="257" t="s">
        <v>644</v>
      </c>
      <c r="AI79" s="257">
        <v>2.2</v>
      </c>
      <c r="AJ79" s="257">
        <v>130</v>
      </c>
      <c r="AK79" s="257" t="s">
        <v>645</v>
      </c>
      <c r="AL79" s="257">
        <v>3.4</v>
      </c>
      <c r="AM79" s="257">
        <v>37.7</v>
      </c>
      <c r="AN79" s="270">
        <v>-12.3</v>
      </c>
    </row>
    <row r="80" ht="20.2" customHeight="1" spans="1:40">
      <c r="A80" s="239"/>
      <c r="B80" s="255">
        <v>8</v>
      </c>
      <c r="C80" s="253" t="s">
        <v>646</v>
      </c>
      <c r="D80" s="255" t="s">
        <v>647</v>
      </c>
      <c r="E80" s="257" t="s">
        <v>648</v>
      </c>
      <c r="F80" s="257" t="s">
        <v>649</v>
      </c>
      <c r="G80" s="257">
        <v>5.4</v>
      </c>
      <c r="H80" s="257" t="s">
        <v>47</v>
      </c>
      <c r="I80" s="257">
        <v>14.8</v>
      </c>
      <c r="J80" s="257">
        <v>-2.3</v>
      </c>
      <c r="K80" s="257">
        <v>1.8</v>
      </c>
      <c r="L80" s="257">
        <v>-4.3</v>
      </c>
      <c r="M80" s="257">
        <v>75</v>
      </c>
      <c r="N80" s="257">
        <v>34</v>
      </c>
      <c r="O80" s="257">
        <v>28.3</v>
      </c>
      <c r="P80" s="257">
        <v>30.5</v>
      </c>
      <c r="Q80" s="257">
        <v>72</v>
      </c>
      <c r="R80" s="257">
        <v>30.6</v>
      </c>
      <c r="S80" s="257">
        <v>2.6</v>
      </c>
      <c r="T80" s="257" t="s">
        <v>592</v>
      </c>
      <c r="U80" s="257">
        <v>14</v>
      </c>
      <c r="V80" s="257">
        <v>2.8</v>
      </c>
      <c r="W80" s="257">
        <v>2.6</v>
      </c>
      <c r="X80" s="257" t="s">
        <v>262</v>
      </c>
      <c r="Y80" s="257">
        <v>9</v>
      </c>
      <c r="Z80" s="257">
        <v>2.9</v>
      </c>
      <c r="AA80" s="257" t="s">
        <v>592</v>
      </c>
      <c r="AB80" s="257">
        <v>10</v>
      </c>
      <c r="AC80" s="257">
        <v>47</v>
      </c>
      <c r="AD80" s="257">
        <v>14</v>
      </c>
      <c r="AE80" s="257">
        <v>1026.2</v>
      </c>
      <c r="AF80" s="257">
        <v>1005.2</v>
      </c>
      <c r="AG80" s="257">
        <v>87</v>
      </c>
      <c r="AH80" s="257" t="s">
        <v>650</v>
      </c>
      <c r="AI80" s="257">
        <v>2.8</v>
      </c>
      <c r="AJ80" s="257">
        <v>119</v>
      </c>
      <c r="AK80" s="257" t="s">
        <v>651</v>
      </c>
      <c r="AL80" s="257">
        <v>4</v>
      </c>
      <c r="AM80" s="257">
        <v>38.2</v>
      </c>
      <c r="AN80" s="270">
        <v>-11.5</v>
      </c>
    </row>
    <row r="81" s="296" customFormat="1" ht="20.2" customHeight="1" spans="1:40">
      <c r="A81" s="363"/>
      <c r="B81" s="419">
        <v>9</v>
      </c>
      <c r="C81" s="420" t="s">
        <v>652</v>
      </c>
      <c r="D81" s="382" t="s">
        <v>653</v>
      </c>
      <c r="E81" s="382" t="s">
        <v>654</v>
      </c>
      <c r="F81" s="382" t="s">
        <v>655</v>
      </c>
      <c r="G81" s="382">
        <v>17.5</v>
      </c>
      <c r="H81" s="382" t="s">
        <v>47</v>
      </c>
      <c r="I81" s="382">
        <v>16.1</v>
      </c>
      <c r="J81" s="382">
        <v>-0.4</v>
      </c>
      <c r="K81" s="382">
        <v>3.7</v>
      </c>
      <c r="L81" s="382">
        <v>-2.5</v>
      </c>
      <c r="M81" s="382">
        <v>77</v>
      </c>
      <c r="N81" s="382">
        <v>34.4</v>
      </c>
      <c r="O81" s="382">
        <v>28.3</v>
      </c>
      <c r="P81" s="382">
        <v>31.3</v>
      </c>
      <c r="Q81" s="382">
        <v>70</v>
      </c>
      <c r="R81" s="382">
        <v>31.3</v>
      </c>
      <c r="S81" s="382">
        <v>3.5</v>
      </c>
      <c r="T81" s="382" t="s">
        <v>592</v>
      </c>
      <c r="U81" s="382">
        <v>15</v>
      </c>
      <c r="V81" s="382">
        <v>3.9</v>
      </c>
      <c r="W81" s="382">
        <v>3.5</v>
      </c>
      <c r="X81" s="382" t="s">
        <v>123</v>
      </c>
      <c r="Y81" s="382">
        <v>16</v>
      </c>
      <c r="Z81" s="382">
        <v>4.8</v>
      </c>
      <c r="AA81" s="382" t="s">
        <v>592</v>
      </c>
      <c r="AB81" s="382">
        <v>10</v>
      </c>
      <c r="AC81" s="382">
        <v>41</v>
      </c>
      <c r="AD81" s="382">
        <v>8</v>
      </c>
      <c r="AE81" s="382">
        <v>1024.1</v>
      </c>
      <c r="AF81" s="382">
        <v>1003.7</v>
      </c>
      <c r="AG81" s="382">
        <v>50</v>
      </c>
      <c r="AH81" s="382" t="s">
        <v>656</v>
      </c>
      <c r="AI81" s="382">
        <v>3.8</v>
      </c>
      <c r="AJ81" s="382">
        <v>96</v>
      </c>
      <c r="AK81" s="382" t="s">
        <v>657</v>
      </c>
      <c r="AL81" s="382">
        <v>5</v>
      </c>
      <c r="AM81" s="382">
        <v>38.8</v>
      </c>
      <c r="AN81" s="383">
        <v>-8.3</v>
      </c>
    </row>
    <row r="82" s="301" customFormat="1" ht="20.2" customHeight="1" spans="1:40">
      <c r="A82" s="368" t="s">
        <v>658</v>
      </c>
      <c r="B82" s="404">
        <v>1</v>
      </c>
      <c r="C82" s="405" t="s">
        <v>659</v>
      </c>
      <c r="D82" s="404" t="s">
        <v>660</v>
      </c>
      <c r="E82" s="404" t="s">
        <v>661</v>
      </c>
      <c r="F82" s="404" t="s">
        <v>662</v>
      </c>
      <c r="G82" s="404">
        <v>41.7</v>
      </c>
      <c r="H82" s="404" t="s">
        <v>47</v>
      </c>
      <c r="I82" s="404">
        <v>16.5</v>
      </c>
      <c r="J82" s="404">
        <v>0</v>
      </c>
      <c r="K82" s="404">
        <v>4.3</v>
      </c>
      <c r="L82" s="404">
        <v>-2.4</v>
      </c>
      <c r="M82" s="404">
        <v>76</v>
      </c>
      <c r="N82" s="404">
        <v>35.6</v>
      </c>
      <c r="O82" s="404">
        <v>27.9</v>
      </c>
      <c r="P82" s="404">
        <v>32.3</v>
      </c>
      <c r="Q82" s="404">
        <v>64</v>
      </c>
      <c r="R82" s="404">
        <v>31.6</v>
      </c>
      <c r="S82" s="404">
        <v>2.4</v>
      </c>
      <c r="T82" s="404" t="s">
        <v>153</v>
      </c>
      <c r="U82" s="404">
        <v>17</v>
      </c>
      <c r="V82" s="404">
        <v>2.9</v>
      </c>
      <c r="W82" s="404">
        <v>2.3</v>
      </c>
      <c r="X82" s="404" t="s">
        <v>414</v>
      </c>
      <c r="Y82" s="404" t="s">
        <v>663</v>
      </c>
      <c r="Z82" s="404">
        <v>3.3</v>
      </c>
      <c r="AA82" s="404" t="s">
        <v>414</v>
      </c>
      <c r="AB82" s="404" t="s">
        <v>600</v>
      </c>
      <c r="AC82" s="404">
        <v>36</v>
      </c>
      <c r="AD82" s="404" t="s">
        <v>577</v>
      </c>
      <c r="AE82" s="404">
        <v>1021.1</v>
      </c>
      <c r="AF82" s="404">
        <v>1000.9</v>
      </c>
      <c r="AG82" s="404">
        <v>40</v>
      </c>
      <c r="AH82" s="404" t="s">
        <v>664</v>
      </c>
      <c r="AI82" s="404">
        <v>4.2</v>
      </c>
      <c r="AJ82" s="404">
        <v>90</v>
      </c>
      <c r="AK82" s="404" t="s">
        <v>665</v>
      </c>
      <c r="AL82" s="404">
        <v>5.4</v>
      </c>
      <c r="AM82" s="404">
        <v>39.9</v>
      </c>
      <c r="AN82" s="406">
        <v>-8.6</v>
      </c>
    </row>
    <row r="83" ht="20.2" customHeight="1" spans="1:40">
      <c r="A83" s="372"/>
      <c r="B83" s="361">
        <v>2</v>
      </c>
      <c r="C83" s="357" t="s">
        <v>666</v>
      </c>
      <c r="D83" s="358" t="s">
        <v>667</v>
      </c>
      <c r="E83" s="257" t="s">
        <v>668</v>
      </c>
      <c r="F83" s="257" t="s">
        <v>669</v>
      </c>
      <c r="G83" s="257">
        <v>28.3</v>
      </c>
      <c r="H83" s="257" t="s">
        <v>47</v>
      </c>
      <c r="I83" s="257">
        <v>18.1</v>
      </c>
      <c r="J83" s="257">
        <v>3.4</v>
      </c>
      <c r="K83" s="257">
        <v>8</v>
      </c>
      <c r="L83" s="257">
        <v>1.4</v>
      </c>
      <c r="M83" s="257">
        <v>76</v>
      </c>
      <c r="N83" s="257">
        <v>33.8</v>
      </c>
      <c r="O83" s="257">
        <v>28.3</v>
      </c>
      <c r="P83" s="257">
        <v>31.5</v>
      </c>
      <c r="Q83" s="257">
        <v>72</v>
      </c>
      <c r="R83" s="257">
        <v>29.9</v>
      </c>
      <c r="S83" s="257">
        <v>2</v>
      </c>
      <c r="T83" s="257" t="s">
        <v>670</v>
      </c>
      <c r="U83" s="257" t="s">
        <v>671</v>
      </c>
      <c r="V83" s="257">
        <v>3.4</v>
      </c>
      <c r="W83" s="257">
        <v>1.8</v>
      </c>
      <c r="X83" s="257" t="s">
        <v>134</v>
      </c>
      <c r="Y83" s="257" t="s">
        <v>672</v>
      </c>
      <c r="Z83" s="257">
        <v>2.9</v>
      </c>
      <c r="AA83" s="257" t="s">
        <v>673</v>
      </c>
      <c r="AB83" s="257" t="s">
        <v>203</v>
      </c>
      <c r="AC83" s="257">
        <v>36</v>
      </c>
      <c r="AD83" s="257" t="s">
        <v>577</v>
      </c>
      <c r="AE83" s="257">
        <v>1023.7</v>
      </c>
      <c r="AF83" s="257">
        <v>1007</v>
      </c>
      <c r="AG83" s="257">
        <v>0</v>
      </c>
      <c r="AH83" s="257" t="s">
        <v>577</v>
      </c>
      <c r="AI83" s="257" t="s">
        <v>577</v>
      </c>
      <c r="AJ83" s="257">
        <v>33</v>
      </c>
      <c r="AK83" s="257" t="s">
        <v>674</v>
      </c>
      <c r="AL83" s="257">
        <v>7.5</v>
      </c>
      <c r="AM83" s="257">
        <v>39.6</v>
      </c>
      <c r="AN83" s="270">
        <v>-3.9</v>
      </c>
    </row>
    <row r="84" ht="20.2" customHeight="1" spans="1:40">
      <c r="A84" s="372"/>
      <c r="B84" s="361">
        <v>3</v>
      </c>
      <c r="C84" s="357" t="s">
        <v>675</v>
      </c>
      <c r="D84" s="358" t="s">
        <v>676</v>
      </c>
      <c r="E84" s="257" t="s">
        <v>677</v>
      </c>
      <c r="F84" s="257" t="s">
        <v>678</v>
      </c>
      <c r="G84" s="257">
        <v>62.6</v>
      </c>
      <c r="H84" s="257" t="s">
        <v>47</v>
      </c>
      <c r="I84" s="257">
        <v>17.3</v>
      </c>
      <c r="J84" s="257">
        <v>0.4</v>
      </c>
      <c r="K84" s="257">
        <v>5.2</v>
      </c>
      <c r="L84" s="257">
        <v>-1.7</v>
      </c>
      <c r="M84" s="257">
        <v>78</v>
      </c>
      <c r="N84" s="257">
        <v>36.2</v>
      </c>
      <c r="O84" s="257">
        <v>27.6</v>
      </c>
      <c r="P84" s="257">
        <v>33.1</v>
      </c>
      <c r="Q84" s="257">
        <v>60</v>
      </c>
      <c r="R84" s="257">
        <v>32.1</v>
      </c>
      <c r="S84" s="257">
        <v>2.4</v>
      </c>
      <c r="T84" s="257" t="s">
        <v>387</v>
      </c>
      <c r="U84" s="257">
        <v>20</v>
      </c>
      <c r="V84" s="257">
        <v>2.7</v>
      </c>
      <c r="W84" s="257">
        <v>2.7</v>
      </c>
      <c r="X84" s="257" t="s">
        <v>387</v>
      </c>
      <c r="Y84" s="257">
        <v>28</v>
      </c>
      <c r="Z84" s="257">
        <v>3.4</v>
      </c>
      <c r="AA84" s="257" t="s">
        <v>387</v>
      </c>
      <c r="AB84" s="257">
        <v>25</v>
      </c>
      <c r="AC84" s="257">
        <v>37</v>
      </c>
      <c r="AD84" s="257" t="s">
        <v>577</v>
      </c>
      <c r="AE84" s="257">
        <v>1017.9</v>
      </c>
      <c r="AF84" s="257">
        <v>998.6</v>
      </c>
      <c r="AG84" s="257">
        <v>27</v>
      </c>
      <c r="AH84" s="257" t="s">
        <v>679</v>
      </c>
      <c r="AI84" s="257">
        <v>4.8</v>
      </c>
      <c r="AJ84" s="257">
        <v>68</v>
      </c>
      <c r="AK84" s="257" t="s">
        <v>680</v>
      </c>
      <c r="AL84" s="257">
        <v>6</v>
      </c>
      <c r="AM84" s="257">
        <v>40.5</v>
      </c>
      <c r="AN84" s="270">
        <v>-9.6</v>
      </c>
    </row>
    <row r="85" ht="20.2" customHeight="1" spans="1:40">
      <c r="A85" s="372"/>
      <c r="B85" s="361">
        <v>4</v>
      </c>
      <c r="C85" s="357" t="s">
        <v>681</v>
      </c>
      <c r="D85" s="358" t="s">
        <v>682</v>
      </c>
      <c r="E85" s="257" t="s">
        <v>683</v>
      </c>
      <c r="F85" s="257" t="s">
        <v>684</v>
      </c>
      <c r="G85" s="257">
        <v>66.9</v>
      </c>
      <c r="H85" s="257" t="s">
        <v>47</v>
      </c>
      <c r="I85" s="257">
        <v>17.3</v>
      </c>
      <c r="J85" s="257">
        <v>0.8</v>
      </c>
      <c r="K85" s="257">
        <v>5.4</v>
      </c>
      <c r="L85" s="257">
        <v>-1.1</v>
      </c>
      <c r="M85" s="257">
        <v>80</v>
      </c>
      <c r="N85" s="257">
        <v>35.8</v>
      </c>
      <c r="O85" s="257">
        <v>27.7</v>
      </c>
      <c r="P85" s="257">
        <v>32.9</v>
      </c>
      <c r="Q85" s="257">
        <v>62</v>
      </c>
      <c r="R85" s="257">
        <v>31.5</v>
      </c>
      <c r="S85" s="257">
        <v>2.3</v>
      </c>
      <c r="T85" s="257" t="s">
        <v>685</v>
      </c>
      <c r="U85" s="257" t="s">
        <v>686</v>
      </c>
      <c r="V85" s="257">
        <v>3.1</v>
      </c>
      <c r="W85" s="257">
        <v>2.5</v>
      </c>
      <c r="X85" s="257" t="s">
        <v>622</v>
      </c>
      <c r="Y85" s="257">
        <v>27</v>
      </c>
      <c r="Z85" s="257">
        <v>3.9</v>
      </c>
      <c r="AA85" s="257" t="s">
        <v>687</v>
      </c>
      <c r="AB85" s="257">
        <v>25</v>
      </c>
      <c r="AC85" s="257">
        <v>35</v>
      </c>
      <c r="AD85" s="257" t="s">
        <v>577</v>
      </c>
      <c r="AE85" s="257">
        <v>1017.1</v>
      </c>
      <c r="AF85" s="257">
        <v>997.8</v>
      </c>
      <c r="AG85" s="257">
        <v>9</v>
      </c>
      <c r="AH85" s="257" t="s">
        <v>688</v>
      </c>
      <c r="AI85" s="257">
        <v>4.8</v>
      </c>
      <c r="AJ85" s="257">
        <v>68</v>
      </c>
      <c r="AK85" s="257" t="s">
        <v>680</v>
      </c>
      <c r="AL85" s="257">
        <v>6.2</v>
      </c>
      <c r="AM85" s="257">
        <v>40</v>
      </c>
      <c r="AN85" s="270">
        <v>-10</v>
      </c>
    </row>
    <row r="86" ht="20.2" customHeight="1" spans="1:40">
      <c r="A86" s="372"/>
      <c r="B86" s="361">
        <v>5</v>
      </c>
      <c r="C86" s="357" t="s">
        <v>689</v>
      </c>
      <c r="D86" s="358" t="s">
        <v>690</v>
      </c>
      <c r="E86" s="257" t="s">
        <v>691</v>
      </c>
      <c r="F86" s="257" t="s">
        <v>692</v>
      </c>
      <c r="G86" s="257">
        <v>4.8</v>
      </c>
      <c r="H86" s="257" t="s">
        <v>47</v>
      </c>
      <c r="I86" s="257">
        <v>16.5</v>
      </c>
      <c r="J86" s="257">
        <v>0.5</v>
      </c>
      <c r="K86" s="257">
        <v>4.9</v>
      </c>
      <c r="L86" s="257">
        <v>-1.5</v>
      </c>
      <c r="M86" s="257">
        <v>79</v>
      </c>
      <c r="N86" s="257">
        <v>35.1</v>
      </c>
      <c r="O86" s="257">
        <v>28</v>
      </c>
      <c r="P86" s="257">
        <v>31.9</v>
      </c>
      <c r="Q86" s="257">
        <v>68</v>
      </c>
      <c r="R86" s="257">
        <v>30.6</v>
      </c>
      <c r="S86" s="257">
        <v>2.6</v>
      </c>
      <c r="T86" s="257" t="s">
        <v>687</v>
      </c>
      <c r="U86" s="257">
        <v>17</v>
      </c>
      <c r="V86" s="257">
        <v>2.7</v>
      </c>
      <c r="W86" s="257">
        <v>2.3</v>
      </c>
      <c r="X86" s="257" t="s">
        <v>414</v>
      </c>
      <c r="Y86" s="257" t="s">
        <v>693</v>
      </c>
      <c r="Z86" s="257">
        <v>3.4</v>
      </c>
      <c r="AA86" s="257" t="s">
        <v>694</v>
      </c>
      <c r="AB86" s="257" t="s">
        <v>695</v>
      </c>
      <c r="AC86" s="257">
        <v>37</v>
      </c>
      <c r="AD86" s="257" t="s">
        <v>577</v>
      </c>
      <c r="AE86" s="257">
        <v>1025.7</v>
      </c>
      <c r="AF86" s="257">
        <v>1005.9</v>
      </c>
      <c r="AG86" s="257">
        <v>32</v>
      </c>
      <c r="AH86" s="257" t="s">
        <v>696</v>
      </c>
      <c r="AI86" s="257">
        <v>4.6</v>
      </c>
      <c r="AJ86" s="257">
        <v>88</v>
      </c>
      <c r="AK86" s="257" t="s">
        <v>697</v>
      </c>
      <c r="AL86" s="257">
        <v>5.8</v>
      </c>
      <c r="AM86" s="257">
        <v>39.5</v>
      </c>
      <c r="AN86" s="270">
        <v>-8.5</v>
      </c>
    </row>
    <row r="87" ht="20.2" customHeight="1" spans="1:40">
      <c r="A87" s="372"/>
      <c r="B87" s="361">
        <v>6</v>
      </c>
      <c r="C87" s="357" t="s">
        <v>698</v>
      </c>
      <c r="D87" s="358" t="s">
        <v>699</v>
      </c>
      <c r="E87" s="257" t="s">
        <v>700</v>
      </c>
      <c r="F87" s="257" t="s">
        <v>701</v>
      </c>
      <c r="G87" s="257">
        <v>5.4</v>
      </c>
      <c r="H87" s="257" t="s">
        <v>47</v>
      </c>
      <c r="I87" s="257">
        <v>15.8</v>
      </c>
      <c r="J87" s="257">
        <v>-0.7</v>
      </c>
      <c r="K87" s="257">
        <v>3.9</v>
      </c>
      <c r="L87" s="257">
        <v>-2.6</v>
      </c>
      <c r="M87" s="257">
        <v>81</v>
      </c>
      <c r="N87" s="257">
        <v>33.5</v>
      </c>
      <c r="O87" s="257">
        <v>28.3</v>
      </c>
      <c r="P87" s="257">
        <v>30.7</v>
      </c>
      <c r="Q87" s="257">
        <v>74</v>
      </c>
      <c r="R87" s="257">
        <v>30.7</v>
      </c>
      <c r="S87" s="257">
        <v>3.6</v>
      </c>
      <c r="T87" s="257" t="s">
        <v>70</v>
      </c>
      <c r="U87" s="257">
        <v>17</v>
      </c>
      <c r="V87" s="257">
        <v>4.4</v>
      </c>
      <c r="W87" s="257">
        <v>3.1</v>
      </c>
      <c r="X87" s="257" t="s">
        <v>71</v>
      </c>
      <c r="Y87" s="257">
        <v>14</v>
      </c>
      <c r="Z87" s="257">
        <v>4.1</v>
      </c>
      <c r="AA87" s="257" t="s">
        <v>387</v>
      </c>
      <c r="AB87" s="257">
        <v>10</v>
      </c>
      <c r="AC87" s="257">
        <v>42</v>
      </c>
      <c r="AD87" s="257" t="s">
        <v>577</v>
      </c>
      <c r="AE87" s="257">
        <v>1025.4</v>
      </c>
      <c r="AF87" s="257">
        <v>1005.3</v>
      </c>
      <c r="AG87" s="257">
        <v>44</v>
      </c>
      <c r="AH87" s="257" t="s">
        <v>702</v>
      </c>
      <c r="AI87" s="257">
        <v>3.9</v>
      </c>
      <c r="AJ87" s="257">
        <v>99</v>
      </c>
      <c r="AK87" s="257" t="s">
        <v>703</v>
      </c>
      <c r="AL87" s="257">
        <v>5.2</v>
      </c>
      <c r="AM87" s="257">
        <v>38.4</v>
      </c>
      <c r="AN87" s="270">
        <v>-10.6</v>
      </c>
    </row>
    <row r="88" ht="20.2" customHeight="1" spans="1:40">
      <c r="A88" s="372"/>
      <c r="B88" s="361">
        <v>7</v>
      </c>
      <c r="C88" s="357" t="s">
        <v>704</v>
      </c>
      <c r="D88" s="358" t="s">
        <v>705</v>
      </c>
      <c r="E88" s="257" t="s">
        <v>706</v>
      </c>
      <c r="F88" s="257" t="s">
        <v>707</v>
      </c>
      <c r="G88" s="257">
        <v>104.3</v>
      </c>
      <c r="H88" s="257" t="s">
        <v>47</v>
      </c>
      <c r="I88" s="257">
        <v>16.5</v>
      </c>
      <c r="J88" s="257">
        <v>-0.3</v>
      </c>
      <c r="K88" s="257">
        <v>4.5</v>
      </c>
      <c r="L88" s="257">
        <v>-2.6</v>
      </c>
      <c r="M88" s="257">
        <v>76</v>
      </c>
      <c r="N88" s="257">
        <v>35.8</v>
      </c>
      <c r="O88" s="257">
        <v>27.7</v>
      </c>
      <c r="P88" s="257">
        <v>32.5</v>
      </c>
      <c r="Q88" s="257">
        <v>63</v>
      </c>
      <c r="R88" s="257">
        <v>31.1</v>
      </c>
      <c r="S88" s="257">
        <v>2.1</v>
      </c>
      <c r="T88" s="257" t="s">
        <v>708</v>
      </c>
      <c r="U88" s="257" t="s">
        <v>709</v>
      </c>
      <c r="V88" s="257">
        <v>3.9</v>
      </c>
      <c r="W88" s="257">
        <v>2.7</v>
      </c>
      <c r="X88" s="257" t="s">
        <v>188</v>
      </c>
      <c r="Y88" s="257" t="s">
        <v>710</v>
      </c>
      <c r="Z88" s="257">
        <v>4.3</v>
      </c>
      <c r="AA88" s="257" t="s">
        <v>162</v>
      </c>
      <c r="AB88" s="257" t="s">
        <v>711</v>
      </c>
      <c r="AC88" s="257">
        <v>37</v>
      </c>
      <c r="AD88" s="257" t="s">
        <v>577</v>
      </c>
      <c r="AE88" s="257">
        <v>1012.9</v>
      </c>
      <c r="AF88" s="257">
        <v>994</v>
      </c>
      <c r="AG88" s="257">
        <v>40</v>
      </c>
      <c r="AH88" s="257" t="s">
        <v>664</v>
      </c>
      <c r="AI88" s="257">
        <v>4.4</v>
      </c>
      <c r="AJ88" s="257">
        <v>91</v>
      </c>
      <c r="AK88" s="257" t="s">
        <v>712</v>
      </c>
      <c r="AL88" s="257">
        <v>5.6</v>
      </c>
      <c r="AM88" s="257">
        <v>40.3</v>
      </c>
      <c r="AN88" s="270">
        <v>-9.6</v>
      </c>
    </row>
    <row r="89" ht="20.2" customHeight="1" spans="1:40">
      <c r="A89" s="372"/>
      <c r="B89" s="361">
        <v>8</v>
      </c>
      <c r="C89" s="357" t="s">
        <v>713</v>
      </c>
      <c r="D89" s="358" t="s">
        <v>714</v>
      </c>
      <c r="E89" s="257" t="s">
        <v>715</v>
      </c>
      <c r="F89" s="257" t="s">
        <v>716</v>
      </c>
      <c r="G89" s="257">
        <v>35.7</v>
      </c>
      <c r="H89" s="257" t="s">
        <v>47</v>
      </c>
      <c r="I89" s="257">
        <v>16.4</v>
      </c>
      <c r="J89" s="257">
        <v>1.4</v>
      </c>
      <c r="K89" s="257">
        <v>5.8</v>
      </c>
      <c r="L89" s="257">
        <v>-0.5</v>
      </c>
      <c r="M89" s="257">
        <v>74</v>
      </c>
      <c r="N89" s="257">
        <v>32.2</v>
      </c>
      <c r="O89" s="257">
        <v>27.5</v>
      </c>
      <c r="P89" s="257">
        <v>30</v>
      </c>
      <c r="Q89" s="257">
        <v>74</v>
      </c>
      <c r="R89" s="257">
        <v>28.9</v>
      </c>
      <c r="S89" s="257">
        <v>3.1</v>
      </c>
      <c r="T89" s="257" t="s">
        <v>717</v>
      </c>
      <c r="U89" s="257" t="s">
        <v>191</v>
      </c>
      <c r="V89" s="257">
        <v>3.7</v>
      </c>
      <c r="W89" s="257">
        <v>3.1</v>
      </c>
      <c r="X89" s="257" t="s">
        <v>414</v>
      </c>
      <c r="Y89" s="257" t="s">
        <v>718</v>
      </c>
      <c r="Z89" s="257">
        <v>4.1</v>
      </c>
      <c r="AA89" s="257" t="s">
        <v>50</v>
      </c>
      <c r="AB89" s="257" t="s">
        <v>600</v>
      </c>
      <c r="AC89" s="257">
        <v>41</v>
      </c>
      <c r="AD89" s="257" t="s">
        <v>577</v>
      </c>
      <c r="AE89" s="257">
        <v>1021.2</v>
      </c>
      <c r="AF89" s="257">
        <v>1005.3</v>
      </c>
      <c r="AG89" s="257">
        <v>8</v>
      </c>
      <c r="AH89" s="257" t="s">
        <v>719</v>
      </c>
      <c r="AI89" s="257">
        <v>4.8</v>
      </c>
      <c r="AJ89" s="257">
        <v>77</v>
      </c>
      <c r="AK89" s="257" t="s">
        <v>720</v>
      </c>
      <c r="AL89" s="257">
        <v>6.3</v>
      </c>
      <c r="AM89" s="257">
        <v>38.6</v>
      </c>
      <c r="AN89" s="270">
        <v>-5.5</v>
      </c>
    </row>
    <row r="90" ht="20.2" customHeight="1" spans="1:40">
      <c r="A90" s="372"/>
      <c r="B90" s="361">
        <v>9</v>
      </c>
      <c r="C90" s="357" t="s">
        <v>721</v>
      </c>
      <c r="D90" s="358" t="s">
        <v>722</v>
      </c>
      <c r="E90" s="257" t="s">
        <v>723</v>
      </c>
      <c r="F90" s="257" t="s">
        <v>724</v>
      </c>
      <c r="G90" s="257">
        <v>95.9</v>
      </c>
      <c r="H90" s="257" t="s">
        <v>47</v>
      </c>
      <c r="I90" s="257">
        <v>17.1</v>
      </c>
      <c r="J90" s="257">
        <v>2.1</v>
      </c>
      <c r="K90" s="257">
        <v>7.2</v>
      </c>
      <c r="L90" s="257">
        <v>0.1</v>
      </c>
      <c r="M90" s="257">
        <v>72</v>
      </c>
      <c r="N90" s="257">
        <v>30.3</v>
      </c>
      <c r="O90" s="257">
        <v>27.3</v>
      </c>
      <c r="P90" s="257">
        <v>28.9</v>
      </c>
      <c r="Q90" s="257">
        <v>80</v>
      </c>
      <c r="R90" s="257">
        <v>28.4</v>
      </c>
      <c r="S90" s="257">
        <v>5.2</v>
      </c>
      <c r="T90" s="257" t="s">
        <v>309</v>
      </c>
      <c r="U90" s="257">
        <v>11</v>
      </c>
      <c r="V90" s="257">
        <v>4.6</v>
      </c>
      <c r="W90" s="257">
        <v>5.3</v>
      </c>
      <c r="X90" s="257" t="s">
        <v>369</v>
      </c>
      <c r="Y90" s="257">
        <v>25</v>
      </c>
      <c r="Z90" s="257">
        <v>5.8</v>
      </c>
      <c r="AA90" s="257" t="s">
        <v>369</v>
      </c>
      <c r="AB90" s="257">
        <v>16</v>
      </c>
      <c r="AC90" s="257">
        <v>39</v>
      </c>
      <c r="AD90" s="257" t="s">
        <v>577</v>
      </c>
      <c r="AE90" s="257">
        <v>1012.9</v>
      </c>
      <c r="AF90" s="257">
        <v>997.3</v>
      </c>
      <c r="AG90" s="257">
        <v>0</v>
      </c>
      <c r="AH90" s="257" t="s">
        <v>577</v>
      </c>
      <c r="AI90" s="257" t="s">
        <v>577</v>
      </c>
      <c r="AJ90" s="257">
        <v>43</v>
      </c>
      <c r="AK90" s="257" t="s">
        <v>725</v>
      </c>
      <c r="AL90" s="257">
        <v>6.9</v>
      </c>
      <c r="AM90" s="257">
        <v>34.7</v>
      </c>
      <c r="AN90" s="270">
        <v>-4.6</v>
      </c>
    </row>
    <row r="91" s="300" customFormat="1" ht="20.2" customHeight="1" spans="1:40">
      <c r="A91" s="399"/>
      <c r="B91" s="402">
        <v>10</v>
      </c>
      <c r="C91" s="401" t="s">
        <v>726</v>
      </c>
      <c r="D91" s="402" t="s">
        <v>727</v>
      </c>
      <c r="E91" s="402" t="s">
        <v>728</v>
      </c>
      <c r="F91" s="402" t="s">
        <v>729</v>
      </c>
      <c r="G91" s="421">
        <v>60.8</v>
      </c>
      <c r="H91" s="421" t="s">
        <v>47</v>
      </c>
      <c r="I91" s="402">
        <v>18.1</v>
      </c>
      <c r="J91" s="402">
        <v>1.5</v>
      </c>
      <c r="K91" s="402">
        <v>6.6</v>
      </c>
      <c r="L91" s="402">
        <v>-0.7</v>
      </c>
      <c r="M91" s="402">
        <v>77</v>
      </c>
      <c r="N91" s="402">
        <v>36.8</v>
      </c>
      <c r="O91" s="402">
        <v>27.7</v>
      </c>
      <c r="P91" s="402">
        <v>34</v>
      </c>
      <c r="Q91" s="402">
        <v>57</v>
      </c>
      <c r="R91" s="402">
        <v>31.5</v>
      </c>
      <c r="S91" s="402">
        <v>1.3</v>
      </c>
      <c r="T91" s="402" t="s">
        <v>670</v>
      </c>
      <c r="U91" s="402" t="s">
        <v>730</v>
      </c>
      <c r="V91" s="402">
        <v>2.3</v>
      </c>
      <c r="W91" s="402">
        <v>1.4</v>
      </c>
      <c r="X91" s="402" t="s">
        <v>731</v>
      </c>
      <c r="Y91" s="402" t="s">
        <v>732</v>
      </c>
      <c r="Z91" s="402">
        <v>3.1</v>
      </c>
      <c r="AA91" s="402" t="s">
        <v>497</v>
      </c>
      <c r="AB91" s="402" t="s">
        <v>733</v>
      </c>
      <c r="AC91" s="402">
        <v>33</v>
      </c>
      <c r="AD91" s="402" t="s">
        <v>577</v>
      </c>
      <c r="AE91" s="402">
        <v>1017.9</v>
      </c>
      <c r="AF91" s="402">
        <v>999.2</v>
      </c>
      <c r="AG91" s="402">
        <v>0</v>
      </c>
      <c r="AH91" s="402" t="s">
        <v>577</v>
      </c>
      <c r="AI91" s="402" t="s">
        <v>577</v>
      </c>
      <c r="AJ91" s="402">
        <v>57</v>
      </c>
      <c r="AK91" s="402" t="s">
        <v>734</v>
      </c>
      <c r="AL91" s="402">
        <v>6.8</v>
      </c>
      <c r="AM91" s="402">
        <v>41.3</v>
      </c>
      <c r="AN91" s="403">
        <v>-7.5</v>
      </c>
    </row>
    <row r="92" s="299" customFormat="1" ht="20.2" customHeight="1" spans="1:40">
      <c r="A92" s="386" t="s">
        <v>735</v>
      </c>
      <c r="B92" s="393">
        <v>1</v>
      </c>
      <c r="C92" s="394" t="s">
        <v>736</v>
      </c>
      <c r="D92" s="393" t="s">
        <v>737</v>
      </c>
      <c r="E92" s="393" t="s">
        <v>738</v>
      </c>
      <c r="F92" s="393" t="s">
        <v>739</v>
      </c>
      <c r="G92" s="393">
        <v>27.9</v>
      </c>
      <c r="H92" s="393" t="s">
        <v>47</v>
      </c>
      <c r="I92" s="393">
        <v>15.8</v>
      </c>
      <c r="J92" s="393">
        <v>-1.7</v>
      </c>
      <c r="K92" s="393">
        <v>2.6</v>
      </c>
      <c r="L92" s="393">
        <v>-4.2</v>
      </c>
      <c r="M92" s="393">
        <v>76</v>
      </c>
      <c r="N92" s="393">
        <v>35</v>
      </c>
      <c r="O92" s="393">
        <v>28.1</v>
      </c>
      <c r="P92" s="393">
        <v>31.4</v>
      </c>
      <c r="Q92" s="393">
        <v>69</v>
      </c>
      <c r="R92" s="393">
        <v>31.7</v>
      </c>
      <c r="S92" s="393">
        <v>2.9</v>
      </c>
      <c r="T92" s="393" t="s">
        <v>130</v>
      </c>
      <c r="U92" s="393" t="s">
        <v>490</v>
      </c>
      <c r="V92" s="393">
        <v>3.4</v>
      </c>
      <c r="W92" s="393">
        <v>2.7</v>
      </c>
      <c r="X92" s="393" t="s">
        <v>497</v>
      </c>
      <c r="Y92" s="393" t="s">
        <v>53</v>
      </c>
      <c r="Z92" s="393">
        <v>3</v>
      </c>
      <c r="AA92" s="393" t="s">
        <v>497</v>
      </c>
      <c r="AB92" s="393" t="s">
        <v>635</v>
      </c>
      <c r="AC92" s="393">
        <v>40</v>
      </c>
      <c r="AD92" s="393">
        <v>8</v>
      </c>
      <c r="AE92" s="393">
        <v>1022.3</v>
      </c>
      <c r="AF92" s="393">
        <v>1001.2</v>
      </c>
      <c r="AG92" s="393">
        <v>64</v>
      </c>
      <c r="AH92" s="393" t="s">
        <v>740</v>
      </c>
      <c r="AI92" s="393">
        <v>3.4</v>
      </c>
      <c r="AJ92" s="393">
        <v>103</v>
      </c>
      <c r="AK92" s="393" t="s">
        <v>741</v>
      </c>
      <c r="AL92" s="393">
        <v>4.3</v>
      </c>
      <c r="AM92" s="393">
        <v>39.1</v>
      </c>
      <c r="AN92" s="395">
        <v>-13.5</v>
      </c>
    </row>
    <row r="93" ht="20.2" customHeight="1" spans="1:40">
      <c r="A93" s="239"/>
      <c r="B93" s="255">
        <v>2</v>
      </c>
      <c r="C93" s="253" t="s">
        <v>742</v>
      </c>
      <c r="D93" s="255" t="s">
        <v>743</v>
      </c>
      <c r="E93" s="257" t="s">
        <v>744</v>
      </c>
      <c r="F93" s="257" t="s">
        <v>745</v>
      </c>
      <c r="G93" s="257">
        <v>14.8</v>
      </c>
      <c r="H93" s="257" t="s">
        <v>746</v>
      </c>
      <c r="I93" s="257">
        <v>16</v>
      </c>
      <c r="J93" s="257">
        <v>-1.3</v>
      </c>
      <c r="K93" s="257">
        <v>3</v>
      </c>
      <c r="L93" s="257">
        <v>-3.5</v>
      </c>
      <c r="M93" s="257">
        <v>77</v>
      </c>
      <c r="N93" s="257">
        <v>35.3</v>
      </c>
      <c r="O93" s="257">
        <v>27.7</v>
      </c>
      <c r="P93" s="257">
        <v>31.7</v>
      </c>
      <c r="Q93" s="257">
        <v>68</v>
      </c>
      <c r="R93" s="257">
        <v>31.9</v>
      </c>
      <c r="S93" s="257">
        <v>2.3</v>
      </c>
      <c r="T93" s="257" t="s">
        <v>90</v>
      </c>
      <c r="U93" s="257" t="s">
        <v>747</v>
      </c>
      <c r="V93" s="257">
        <v>1.3</v>
      </c>
      <c r="W93" s="257">
        <v>2.2</v>
      </c>
      <c r="X93" s="257" t="s">
        <v>497</v>
      </c>
      <c r="Y93" s="257" t="s">
        <v>245</v>
      </c>
      <c r="Z93" s="257">
        <v>2.8</v>
      </c>
      <c r="AA93" s="257" t="s">
        <v>90</v>
      </c>
      <c r="AB93" s="257" t="s">
        <v>112</v>
      </c>
      <c r="AC93" s="257">
        <v>38</v>
      </c>
      <c r="AD93" s="257">
        <v>9</v>
      </c>
      <c r="AE93" s="257">
        <v>1024.3</v>
      </c>
      <c r="AF93" s="257">
        <v>1003.1</v>
      </c>
      <c r="AG93" s="257">
        <v>62</v>
      </c>
      <c r="AH93" s="257" t="s">
        <v>748</v>
      </c>
      <c r="AI93" s="257">
        <v>3.4</v>
      </c>
      <c r="AJ93" s="257">
        <v>104</v>
      </c>
      <c r="AK93" s="257" t="s">
        <v>749</v>
      </c>
      <c r="AL93" s="257">
        <v>4.5</v>
      </c>
      <c r="AM93" s="257">
        <v>39.5</v>
      </c>
      <c r="AN93" s="270">
        <v>-10.1</v>
      </c>
    </row>
    <row r="94" ht="20.2" customHeight="1" spans="1:40">
      <c r="A94" s="239"/>
      <c r="B94" s="255">
        <v>3</v>
      </c>
      <c r="C94" s="253" t="s">
        <v>750</v>
      </c>
      <c r="D94" s="255" t="s">
        <v>751</v>
      </c>
      <c r="E94" s="257" t="s">
        <v>752</v>
      </c>
      <c r="F94" s="257" t="s">
        <v>753</v>
      </c>
      <c r="G94" s="261">
        <v>18.7</v>
      </c>
      <c r="H94" s="261" t="s">
        <v>47</v>
      </c>
      <c r="I94" s="257">
        <v>15.4</v>
      </c>
      <c r="J94" s="257">
        <v>-2.6</v>
      </c>
      <c r="K94" s="257">
        <v>1.8</v>
      </c>
      <c r="L94" s="257">
        <v>-5</v>
      </c>
      <c r="M94" s="257">
        <v>71</v>
      </c>
      <c r="N94" s="257">
        <v>35.4</v>
      </c>
      <c r="O94" s="257">
        <v>28</v>
      </c>
      <c r="P94" s="257">
        <v>31.3</v>
      </c>
      <c r="Q94" s="257">
        <v>66</v>
      </c>
      <c r="R94" s="257">
        <v>31.6</v>
      </c>
      <c r="S94" s="257">
        <v>2.5</v>
      </c>
      <c r="T94" s="257" t="s">
        <v>497</v>
      </c>
      <c r="U94" s="257" t="s">
        <v>164</v>
      </c>
      <c r="V94" s="257">
        <v>2.8</v>
      </c>
      <c r="W94" s="257">
        <v>2.3</v>
      </c>
      <c r="X94" s="257" t="s">
        <v>497</v>
      </c>
      <c r="Y94" s="257" t="s">
        <v>600</v>
      </c>
      <c r="Z94" s="257">
        <v>3.1</v>
      </c>
      <c r="AA94" s="257" t="s">
        <v>497</v>
      </c>
      <c r="AB94" s="257" t="s">
        <v>754</v>
      </c>
      <c r="AC94" s="257">
        <v>44</v>
      </c>
      <c r="AD94" s="257">
        <v>11</v>
      </c>
      <c r="AE94" s="257">
        <v>1024</v>
      </c>
      <c r="AF94" s="257">
        <v>1002.6</v>
      </c>
      <c r="AG94" s="257">
        <v>83</v>
      </c>
      <c r="AH94" s="257" t="s">
        <v>755</v>
      </c>
      <c r="AI94" s="257">
        <v>2.9</v>
      </c>
      <c r="AJ94" s="257">
        <v>111</v>
      </c>
      <c r="AK94" s="257" t="s">
        <v>756</v>
      </c>
      <c r="AL94" s="257">
        <v>3.8</v>
      </c>
      <c r="AM94" s="257">
        <v>40.3</v>
      </c>
      <c r="AN94" s="270">
        <v>-13</v>
      </c>
    </row>
    <row r="95" ht="20.2" customHeight="1" spans="1:40">
      <c r="A95" s="239"/>
      <c r="B95" s="255">
        <v>4</v>
      </c>
      <c r="C95" s="253" t="s">
        <v>757</v>
      </c>
      <c r="D95" s="255" t="s">
        <v>758</v>
      </c>
      <c r="E95" s="257" t="s">
        <v>759</v>
      </c>
      <c r="F95" s="257" t="s">
        <v>760</v>
      </c>
      <c r="G95" s="261">
        <v>19.8</v>
      </c>
      <c r="H95" s="261" t="s">
        <v>47</v>
      </c>
      <c r="I95" s="257">
        <v>16.8</v>
      </c>
      <c r="J95" s="257">
        <v>-0.2</v>
      </c>
      <c r="K95" s="257">
        <v>4</v>
      </c>
      <c r="L95" s="257">
        <v>2.9</v>
      </c>
      <c r="M95" s="257">
        <v>75</v>
      </c>
      <c r="N95" s="257">
        <v>35.3</v>
      </c>
      <c r="O95" s="257">
        <v>28.1</v>
      </c>
      <c r="P95" s="257">
        <v>31.8</v>
      </c>
      <c r="Q95" s="257">
        <v>66</v>
      </c>
      <c r="R95" s="257">
        <v>32.1</v>
      </c>
      <c r="S95" s="257">
        <v>2.9</v>
      </c>
      <c r="T95" s="257" t="s">
        <v>381</v>
      </c>
      <c r="U95" s="257">
        <v>24</v>
      </c>
      <c r="V95" s="257">
        <v>3.4</v>
      </c>
      <c r="W95" s="257">
        <v>3.2</v>
      </c>
      <c r="X95" s="257" t="s">
        <v>381</v>
      </c>
      <c r="Y95" s="257">
        <v>33</v>
      </c>
      <c r="Z95" s="257">
        <v>4.1</v>
      </c>
      <c r="AA95" s="257" t="s">
        <v>381</v>
      </c>
      <c r="AB95" s="257">
        <v>30</v>
      </c>
      <c r="AC95" s="257">
        <v>36</v>
      </c>
      <c r="AD95" s="257">
        <v>13</v>
      </c>
      <c r="AE95" s="257">
        <v>1023.3</v>
      </c>
      <c r="AF95" s="257">
        <v>1002.3</v>
      </c>
      <c r="AG95" s="257">
        <v>48</v>
      </c>
      <c r="AH95" s="257" t="s">
        <v>761</v>
      </c>
      <c r="AI95" s="257">
        <v>4.1</v>
      </c>
      <c r="AJ95" s="257">
        <v>92</v>
      </c>
      <c r="AK95" s="257" t="s">
        <v>762</v>
      </c>
      <c r="AL95" s="257">
        <v>5.3</v>
      </c>
      <c r="AM95" s="257">
        <v>39.5</v>
      </c>
      <c r="AN95" s="270">
        <v>-9</v>
      </c>
    </row>
    <row r="96" ht="20.2" customHeight="1" spans="1:40">
      <c r="A96" s="239"/>
      <c r="B96" s="255">
        <v>5</v>
      </c>
      <c r="C96" s="253" t="s">
        <v>763</v>
      </c>
      <c r="D96" s="255" t="s">
        <v>764</v>
      </c>
      <c r="E96" s="257" t="s">
        <v>765</v>
      </c>
      <c r="F96" s="257" t="s">
        <v>766</v>
      </c>
      <c r="G96" s="257">
        <v>60.5</v>
      </c>
      <c r="H96" s="257" t="s">
        <v>47</v>
      </c>
      <c r="I96" s="257">
        <v>15.7</v>
      </c>
      <c r="J96" s="257">
        <v>-1.8</v>
      </c>
      <c r="K96" s="257">
        <v>2.6</v>
      </c>
      <c r="L96" s="257">
        <v>-4.6</v>
      </c>
      <c r="M96" s="257">
        <v>76</v>
      </c>
      <c r="N96" s="257">
        <v>35.5</v>
      </c>
      <c r="O96" s="257">
        <v>28</v>
      </c>
      <c r="P96" s="257">
        <v>31.4</v>
      </c>
      <c r="Q96" s="257">
        <v>68</v>
      </c>
      <c r="R96" s="257">
        <v>31.4</v>
      </c>
      <c r="S96" s="257">
        <v>2.1</v>
      </c>
      <c r="T96" s="257" t="s">
        <v>211</v>
      </c>
      <c r="U96" s="257" t="s">
        <v>767</v>
      </c>
      <c r="V96" s="257">
        <v>2.7</v>
      </c>
      <c r="W96" s="257">
        <v>2</v>
      </c>
      <c r="X96" s="257" t="s">
        <v>278</v>
      </c>
      <c r="Y96" s="257" t="s">
        <v>768</v>
      </c>
      <c r="Z96" s="257">
        <v>2.8</v>
      </c>
      <c r="AA96" s="257" t="s">
        <v>211</v>
      </c>
      <c r="AB96" s="257" t="s">
        <v>143</v>
      </c>
      <c r="AC96" s="257">
        <v>45</v>
      </c>
      <c r="AD96" s="257">
        <v>10</v>
      </c>
      <c r="AE96" s="257">
        <v>1019.3</v>
      </c>
      <c r="AF96" s="257">
        <v>998.2</v>
      </c>
      <c r="AG96" s="257">
        <v>64</v>
      </c>
      <c r="AH96" s="257" t="s">
        <v>740</v>
      </c>
      <c r="AI96" s="257">
        <v>3.3</v>
      </c>
      <c r="AJ96" s="257">
        <v>103</v>
      </c>
      <c r="AK96" s="257" t="s">
        <v>741</v>
      </c>
      <c r="AL96" s="257">
        <v>4.3</v>
      </c>
      <c r="AM96" s="257">
        <v>40.6</v>
      </c>
      <c r="AN96" s="270">
        <v>-13.6</v>
      </c>
    </row>
    <row r="97" ht="20.2" customHeight="1" spans="1:40">
      <c r="A97" s="239"/>
      <c r="B97" s="255">
        <v>6</v>
      </c>
      <c r="C97" s="253" t="s">
        <v>769</v>
      </c>
      <c r="D97" s="255" t="s">
        <v>770</v>
      </c>
      <c r="E97" s="257" t="s">
        <v>771</v>
      </c>
      <c r="F97" s="257" t="s">
        <v>772</v>
      </c>
      <c r="G97" s="257">
        <v>37.7</v>
      </c>
      <c r="H97" s="257" t="s">
        <v>47</v>
      </c>
      <c r="I97" s="257">
        <v>14.7</v>
      </c>
      <c r="J97" s="257">
        <v>-3.5</v>
      </c>
      <c r="K97" s="257">
        <v>0.6</v>
      </c>
      <c r="L97" s="257">
        <v>-5.7</v>
      </c>
      <c r="M97" s="257">
        <v>68</v>
      </c>
      <c r="N97" s="257">
        <v>35</v>
      </c>
      <c r="O97" s="257">
        <v>27.8</v>
      </c>
      <c r="P97" s="257">
        <v>31.1</v>
      </c>
      <c r="Q97" s="257">
        <v>66</v>
      </c>
      <c r="R97" s="257">
        <v>30.7</v>
      </c>
      <c r="S97" s="257">
        <v>2.3</v>
      </c>
      <c r="T97" s="257" t="s">
        <v>130</v>
      </c>
      <c r="U97" s="257" t="s">
        <v>308</v>
      </c>
      <c r="V97" s="257">
        <v>2.9</v>
      </c>
      <c r="W97" s="257">
        <v>2.5</v>
      </c>
      <c r="X97" s="257" t="s">
        <v>80</v>
      </c>
      <c r="Y97" s="257" t="s">
        <v>637</v>
      </c>
      <c r="Z97" s="257">
        <v>3.3</v>
      </c>
      <c r="AA97" s="257" t="s">
        <v>202</v>
      </c>
      <c r="AB97" s="257" t="s">
        <v>773</v>
      </c>
      <c r="AC97" s="257">
        <v>48</v>
      </c>
      <c r="AD97" s="257">
        <v>18</v>
      </c>
      <c r="AE97" s="257">
        <v>1021.9</v>
      </c>
      <c r="AF97" s="257">
        <v>100.4</v>
      </c>
      <c r="AG97" s="257">
        <v>93</v>
      </c>
      <c r="AH97" s="257" t="s">
        <v>774</v>
      </c>
      <c r="AI97" s="257">
        <v>2.1</v>
      </c>
      <c r="AJ97" s="257">
        <v>121</v>
      </c>
      <c r="AK97" s="257" t="s">
        <v>775</v>
      </c>
      <c r="AL97" s="257">
        <v>3.2</v>
      </c>
      <c r="AM97" s="257">
        <v>41.3</v>
      </c>
      <c r="AN97" s="270">
        <v>-17.5</v>
      </c>
    </row>
    <row r="98" ht="20.2" customHeight="1" spans="1:40">
      <c r="A98" s="239"/>
      <c r="B98" s="255">
        <v>7</v>
      </c>
      <c r="C98" s="253" t="s">
        <v>776</v>
      </c>
      <c r="D98" s="255" t="s">
        <v>777</v>
      </c>
      <c r="E98" s="257" t="s">
        <v>778</v>
      </c>
      <c r="F98" s="257" t="s">
        <v>89</v>
      </c>
      <c r="G98" s="257">
        <v>1840.4</v>
      </c>
      <c r="H98" s="257" t="s">
        <v>47</v>
      </c>
      <c r="I98" s="257">
        <v>8</v>
      </c>
      <c r="J98" s="257">
        <v>-9.9</v>
      </c>
      <c r="K98" s="257">
        <v>-2.4</v>
      </c>
      <c r="L98" s="257">
        <v>-13</v>
      </c>
      <c r="M98" s="257">
        <v>63</v>
      </c>
      <c r="N98" s="257">
        <v>22</v>
      </c>
      <c r="O98" s="257">
        <v>19.2</v>
      </c>
      <c r="P98" s="257">
        <v>19</v>
      </c>
      <c r="Q98" s="257">
        <v>90</v>
      </c>
      <c r="R98" s="257">
        <v>19.9</v>
      </c>
      <c r="S98" s="257">
        <v>6.1</v>
      </c>
      <c r="T98" s="257" t="s">
        <v>309</v>
      </c>
      <c r="U98" s="257">
        <v>12</v>
      </c>
      <c r="V98" s="257">
        <v>7.7</v>
      </c>
      <c r="W98" s="257">
        <v>6.3</v>
      </c>
      <c r="X98" s="257" t="s">
        <v>71</v>
      </c>
      <c r="Y98" s="257">
        <v>17</v>
      </c>
      <c r="Z98" s="257">
        <v>7</v>
      </c>
      <c r="AA98" s="257" t="s">
        <v>71</v>
      </c>
      <c r="AB98" s="257">
        <v>10</v>
      </c>
      <c r="AC98" s="257">
        <v>48</v>
      </c>
      <c r="AD98" s="257" t="s">
        <v>577</v>
      </c>
      <c r="AE98" s="257">
        <v>817.4</v>
      </c>
      <c r="AF98" s="257">
        <v>814.3</v>
      </c>
      <c r="AG98" s="257">
        <v>148</v>
      </c>
      <c r="AH98" s="257" t="s">
        <v>779</v>
      </c>
      <c r="AI98" s="257">
        <v>0.3</v>
      </c>
      <c r="AJ98" s="257">
        <v>177</v>
      </c>
      <c r="AK98" s="257" t="s">
        <v>780</v>
      </c>
      <c r="AL98" s="257">
        <v>1.4</v>
      </c>
      <c r="AM98" s="257">
        <v>27.6</v>
      </c>
      <c r="AN98" s="270">
        <v>-22.7</v>
      </c>
    </row>
    <row r="99" ht="20.2" customHeight="1" spans="1:40">
      <c r="A99" s="239"/>
      <c r="B99" s="255">
        <v>8</v>
      </c>
      <c r="C99" s="253" t="s">
        <v>781</v>
      </c>
      <c r="D99" s="255" t="s">
        <v>782</v>
      </c>
      <c r="E99" s="257" t="s">
        <v>783</v>
      </c>
      <c r="F99" s="257" t="s">
        <v>784</v>
      </c>
      <c r="G99" s="257">
        <v>27.5</v>
      </c>
      <c r="H99" s="257" t="s">
        <v>47</v>
      </c>
      <c r="I99" s="261">
        <v>15.4</v>
      </c>
      <c r="J99" s="257">
        <v>-1.8</v>
      </c>
      <c r="K99" s="257">
        <v>2.3</v>
      </c>
      <c r="L99" s="257">
        <v>-4.2</v>
      </c>
      <c r="M99" s="257">
        <v>73</v>
      </c>
      <c r="N99" s="257">
        <v>34.5</v>
      </c>
      <c r="O99" s="257">
        <v>28.2</v>
      </c>
      <c r="P99" s="257">
        <v>31</v>
      </c>
      <c r="Q99" s="257">
        <v>70</v>
      </c>
      <c r="R99" s="257">
        <v>31.2</v>
      </c>
      <c r="S99" s="257">
        <v>2.4</v>
      </c>
      <c r="T99" s="257" t="s">
        <v>130</v>
      </c>
      <c r="U99" s="257" t="s">
        <v>53</v>
      </c>
      <c r="V99" s="257">
        <v>2.5</v>
      </c>
      <c r="W99" s="257">
        <v>2.2</v>
      </c>
      <c r="X99" s="257" t="s">
        <v>50</v>
      </c>
      <c r="Y99" s="257" t="s">
        <v>785</v>
      </c>
      <c r="Z99" s="257">
        <v>2.8</v>
      </c>
      <c r="AA99" s="257" t="s">
        <v>90</v>
      </c>
      <c r="AB99" s="257" t="s">
        <v>786</v>
      </c>
      <c r="AC99" s="257">
        <v>42</v>
      </c>
      <c r="AD99" s="257">
        <v>11</v>
      </c>
      <c r="AE99" s="257">
        <v>1022.9</v>
      </c>
      <c r="AF99" s="257">
        <v>1001.8</v>
      </c>
      <c r="AG99" s="257">
        <v>67</v>
      </c>
      <c r="AH99" s="257" t="s">
        <v>787</v>
      </c>
      <c r="AI99" s="257">
        <v>3.2</v>
      </c>
      <c r="AJ99" s="257">
        <v>110</v>
      </c>
      <c r="AK99" s="257" t="s">
        <v>788</v>
      </c>
      <c r="AL99" s="257">
        <v>4.2</v>
      </c>
      <c r="AM99" s="257">
        <v>38.7</v>
      </c>
      <c r="AN99" s="270">
        <v>-13</v>
      </c>
    </row>
    <row r="100" s="298" customFormat="1" ht="20.2" customHeight="1" spans="1:40">
      <c r="A100" s="239"/>
      <c r="B100" s="255">
        <v>9</v>
      </c>
      <c r="C100" s="253" t="s">
        <v>789</v>
      </c>
      <c r="D100" s="255" t="s">
        <v>790</v>
      </c>
      <c r="E100" s="390" t="s">
        <v>791</v>
      </c>
      <c r="F100" s="390" t="s">
        <v>792</v>
      </c>
      <c r="G100" s="390">
        <v>30.6</v>
      </c>
      <c r="H100" s="390" t="s">
        <v>47</v>
      </c>
      <c r="I100" s="398">
        <v>15.3</v>
      </c>
      <c r="J100" s="390">
        <v>-2.5</v>
      </c>
      <c r="K100" s="390">
        <v>1.8</v>
      </c>
      <c r="L100" s="390">
        <v>-5.2</v>
      </c>
      <c r="M100" s="390">
        <v>71</v>
      </c>
      <c r="N100" s="390">
        <v>35.2</v>
      </c>
      <c r="O100" s="390">
        <v>28.1</v>
      </c>
      <c r="P100" s="390">
        <v>31.3</v>
      </c>
      <c r="Q100" s="390">
        <v>67</v>
      </c>
      <c r="R100" s="390">
        <v>31.4</v>
      </c>
      <c r="S100" s="390">
        <v>2.3</v>
      </c>
      <c r="T100" s="390" t="s">
        <v>211</v>
      </c>
      <c r="U100" s="390" t="s">
        <v>490</v>
      </c>
      <c r="V100" s="390">
        <v>2.4</v>
      </c>
      <c r="W100" s="390">
        <v>2.5</v>
      </c>
      <c r="X100" s="390" t="s">
        <v>90</v>
      </c>
      <c r="Y100" s="390" t="s">
        <v>793</v>
      </c>
      <c r="Z100" s="390">
        <v>2.5</v>
      </c>
      <c r="AA100" s="390" t="s">
        <v>90</v>
      </c>
      <c r="AB100" s="390" t="s">
        <v>793</v>
      </c>
      <c r="AC100" s="390">
        <v>43</v>
      </c>
      <c r="AD100" s="390">
        <v>13</v>
      </c>
      <c r="AE100" s="390">
        <v>1022.5</v>
      </c>
      <c r="AF100" s="390">
        <v>1000.8</v>
      </c>
      <c r="AG100" s="390">
        <v>71</v>
      </c>
      <c r="AH100" s="390" t="s">
        <v>794</v>
      </c>
      <c r="AI100" s="390">
        <v>2.8</v>
      </c>
      <c r="AJ100" s="390">
        <v>111</v>
      </c>
      <c r="AK100" s="390" t="s">
        <v>795</v>
      </c>
      <c r="AL100" s="390">
        <v>3.8</v>
      </c>
      <c r="AM100" s="390">
        <v>40.8</v>
      </c>
      <c r="AN100" s="391">
        <v>-14.9</v>
      </c>
    </row>
    <row r="101" ht="20.2" customHeight="1" spans="1:40">
      <c r="A101" s="239"/>
      <c r="B101" s="255">
        <v>10</v>
      </c>
      <c r="C101" s="253" t="s">
        <v>796</v>
      </c>
      <c r="D101" s="255" t="s">
        <v>797</v>
      </c>
      <c r="E101" s="257" t="s">
        <v>798</v>
      </c>
      <c r="F101" s="257" t="s">
        <v>799</v>
      </c>
      <c r="G101" s="257">
        <v>25.9</v>
      </c>
      <c r="H101" s="257" t="s">
        <v>47</v>
      </c>
      <c r="I101" s="261">
        <v>14.7</v>
      </c>
      <c r="J101" s="257">
        <v>-3.5</v>
      </c>
      <c r="K101" s="257">
        <v>0.8</v>
      </c>
      <c r="L101" s="257">
        <v>-5.6</v>
      </c>
      <c r="M101" s="257">
        <v>68</v>
      </c>
      <c r="N101" s="257">
        <v>35</v>
      </c>
      <c r="O101" s="257">
        <v>27.8</v>
      </c>
      <c r="P101" s="257">
        <v>31</v>
      </c>
      <c r="Q101" s="257">
        <v>66</v>
      </c>
      <c r="R101" s="257">
        <v>30.7</v>
      </c>
      <c r="S101" s="257">
        <v>2.4</v>
      </c>
      <c r="T101" s="257" t="s">
        <v>387</v>
      </c>
      <c r="U101" s="257">
        <v>11</v>
      </c>
      <c r="V101" s="257">
        <v>2.4</v>
      </c>
      <c r="W101" s="257">
        <v>2.2</v>
      </c>
      <c r="X101" s="257" t="s">
        <v>381</v>
      </c>
      <c r="Y101" s="257">
        <v>14</v>
      </c>
      <c r="Z101" s="257">
        <v>2.9</v>
      </c>
      <c r="AA101" s="257" t="s">
        <v>381</v>
      </c>
      <c r="AB101" s="257">
        <v>12</v>
      </c>
      <c r="AC101" s="257">
        <v>50</v>
      </c>
      <c r="AD101" s="257">
        <v>14</v>
      </c>
      <c r="AE101" s="257">
        <v>1023.9</v>
      </c>
      <c r="AF101" s="257">
        <v>1002.3</v>
      </c>
      <c r="AG101" s="257">
        <v>93</v>
      </c>
      <c r="AH101" s="257" t="s">
        <v>800</v>
      </c>
      <c r="AI101" s="257">
        <v>2.2</v>
      </c>
      <c r="AJ101" s="257">
        <v>121</v>
      </c>
      <c r="AK101" s="257" t="s">
        <v>801</v>
      </c>
      <c r="AL101" s="257">
        <v>3.3</v>
      </c>
      <c r="AM101" s="257">
        <v>40.9</v>
      </c>
      <c r="AN101" s="270">
        <v>-18.7</v>
      </c>
    </row>
    <row r="102" ht="20.2" customHeight="1" spans="1:40">
      <c r="A102" s="239"/>
      <c r="B102" s="255">
        <v>11</v>
      </c>
      <c r="C102" s="253" t="s">
        <v>802</v>
      </c>
      <c r="D102" s="255" t="s">
        <v>803</v>
      </c>
      <c r="E102" s="257" t="s">
        <v>804</v>
      </c>
      <c r="F102" s="257" t="s">
        <v>805</v>
      </c>
      <c r="G102" s="257">
        <v>22.4</v>
      </c>
      <c r="H102" s="257" t="s">
        <v>47</v>
      </c>
      <c r="I102" s="257">
        <v>16</v>
      </c>
      <c r="J102" s="257">
        <v>-1.2</v>
      </c>
      <c r="K102" s="257">
        <v>2.9</v>
      </c>
      <c r="L102" s="257">
        <v>-3.8</v>
      </c>
      <c r="M102" s="257">
        <v>75</v>
      </c>
      <c r="N102" s="257">
        <v>35.3</v>
      </c>
      <c r="O102" s="257">
        <v>28.4</v>
      </c>
      <c r="P102" s="257">
        <v>31.1</v>
      </c>
      <c r="Q102" s="257">
        <v>68</v>
      </c>
      <c r="R102" s="257">
        <v>32.1</v>
      </c>
      <c r="S102" s="257">
        <v>2.4</v>
      </c>
      <c r="T102" s="257" t="s">
        <v>497</v>
      </c>
      <c r="U102" s="257" t="s">
        <v>289</v>
      </c>
      <c r="V102" s="257">
        <v>2.5</v>
      </c>
      <c r="W102" s="257">
        <v>2.5</v>
      </c>
      <c r="X102" s="257" t="s">
        <v>497</v>
      </c>
      <c r="Y102" s="257" t="s">
        <v>806</v>
      </c>
      <c r="Z102" s="257">
        <v>3</v>
      </c>
      <c r="AA102" s="257" t="s">
        <v>497</v>
      </c>
      <c r="AB102" s="257" t="s">
        <v>403</v>
      </c>
      <c r="AC102" s="257">
        <v>41</v>
      </c>
      <c r="AD102" s="257">
        <v>9</v>
      </c>
      <c r="AE102" s="257">
        <v>1023.8</v>
      </c>
      <c r="AF102" s="257">
        <v>1002.5</v>
      </c>
      <c r="AG102" s="257">
        <v>59</v>
      </c>
      <c r="AH102" s="257" t="s">
        <v>807</v>
      </c>
      <c r="AI102" s="257">
        <v>3.5</v>
      </c>
      <c r="AJ102" s="257">
        <v>101</v>
      </c>
      <c r="AK102" s="257" t="s">
        <v>808</v>
      </c>
      <c r="AL102" s="257">
        <v>4.5</v>
      </c>
      <c r="AM102" s="257">
        <v>39.3</v>
      </c>
      <c r="AN102" s="270">
        <v>-13.2</v>
      </c>
    </row>
    <row r="103" s="291" customFormat="1" ht="20.2" customHeight="1" spans="1:40">
      <c r="A103" s="363"/>
      <c r="B103" s="422">
        <v>12</v>
      </c>
      <c r="C103" s="370" t="s">
        <v>809</v>
      </c>
      <c r="D103" s="369" t="s">
        <v>810</v>
      </c>
      <c r="E103" s="369" t="s">
        <v>700</v>
      </c>
      <c r="F103" s="369" t="s">
        <v>811</v>
      </c>
      <c r="G103" s="369">
        <v>89.4</v>
      </c>
      <c r="H103" s="369" t="s">
        <v>47</v>
      </c>
      <c r="I103" s="369">
        <v>15.5</v>
      </c>
      <c r="J103" s="369">
        <v>-1.5</v>
      </c>
      <c r="K103" s="369">
        <v>2.9</v>
      </c>
      <c r="L103" s="369">
        <v>-4.1</v>
      </c>
      <c r="M103" s="369">
        <v>79</v>
      </c>
      <c r="N103" s="369">
        <v>36.1</v>
      </c>
      <c r="O103" s="369">
        <v>27.4</v>
      </c>
      <c r="P103" s="369">
        <v>32</v>
      </c>
      <c r="Q103" s="369">
        <v>63</v>
      </c>
      <c r="R103" s="369">
        <v>30.8</v>
      </c>
      <c r="S103" s="369">
        <v>1.9</v>
      </c>
      <c r="T103" s="369" t="s">
        <v>130</v>
      </c>
      <c r="U103" s="369" t="s">
        <v>440</v>
      </c>
      <c r="V103" s="369">
        <v>2.2</v>
      </c>
      <c r="W103" s="369">
        <v>1.7</v>
      </c>
      <c r="X103" s="369" t="s">
        <v>50</v>
      </c>
      <c r="Y103" s="369" t="s">
        <v>812</v>
      </c>
      <c r="Z103" s="369">
        <v>3.5</v>
      </c>
      <c r="AA103" s="369" t="s">
        <v>50</v>
      </c>
      <c r="AB103" s="369" t="s">
        <v>813</v>
      </c>
      <c r="AC103" s="369">
        <v>38</v>
      </c>
      <c r="AD103" s="369">
        <v>11</v>
      </c>
      <c r="AE103" s="369">
        <v>1015.7</v>
      </c>
      <c r="AF103" s="369">
        <v>995.8</v>
      </c>
      <c r="AG103" s="369">
        <v>65</v>
      </c>
      <c r="AH103" s="369" t="s">
        <v>814</v>
      </c>
      <c r="AI103" s="369">
        <v>3.4</v>
      </c>
      <c r="AJ103" s="369">
        <v>104</v>
      </c>
      <c r="AK103" s="369" t="s">
        <v>815</v>
      </c>
      <c r="AL103" s="369">
        <v>4.5</v>
      </c>
      <c r="AM103" s="369">
        <v>41.1</v>
      </c>
      <c r="AN103" s="371">
        <v>-15.9</v>
      </c>
    </row>
    <row r="104" s="288" customFormat="1" ht="20.2" customHeight="1" spans="1:40">
      <c r="A104" s="368" t="s">
        <v>816</v>
      </c>
      <c r="B104" s="358">
        <v>1</v>
      </c>
      <c r="C104" s="357" t="s">
        <v>817</v>
      </c>
      <c r="D104" s="358" t="s">
        <v>818</v>
      </c>
      <c r="E104" s="358" t="s">
        <v>819</v>
      </c>
      <c r="F104" s="358" t="s">
        <v>820</v>
      </c>
      <c r="G104" s="358">
        <v>84</v>
      </c>
      <c r="H104" s="358" t="s">
        <v>47</v>
      </c>
      <c r="I104" s="358">
        <v>19.8</v>
      </c>
      <c r="J104" s="358">
        <v>6.3</v>
      </c>
      <c r="K104" s="358">
        <v>10.9</v>
      </c>
      <c r="L104" s="358">
        <v>4.4</v>
      </c>
      <c r="M104" s="358">
        <v>74</v>
      </c>
      <c r="N104" s="358">
        <v>35.9</v>
      </c>
      <c r="O104" s="358">
        <v>28</v>
      </c>
      <c r="P104" s="358">
        <v>33.1</v>
      </c>
      <c r="Q104" s="358">
        <v>61</v>
      </c>
      <c r="R104" s="358">
        <v>30.8</v>
      </c>
      <c r="S104" s="358">
        <v>3</v>
      </c>
      <c r="T104" s="358" t="s">
        <v>70</v>
      </c>
      <c r="U104" s="358">
        <v>24</v>
      </c>
      <c r="V104" s="358">
        <v>4.2</v>
      </c>
      <c r="W104" s="358">
        <v>2.4</v>
      </c>
      <c r="X104" s="358" t="s">
        <v>202</v>
      </c>
      <c r="Y104" s="358" t="s">
        <v>821</v>
      </c>
      <c r="Z104" s="358">
        <v>3.1</v>
      </c>
      <c r="AA104" s="358" t="s">
        <v>211</v>
      </c>
      <c r="AB104" s="358" t="s">
        <v>112</v>
      </c>
      <c r="AC104" s="358">
        <v>32</v>
      </c>
      <c r="AD104" s="358" t="s">
        <v>577</v>
      </c>
      <c r="AE104" s="358">
        <v>1012.9</v>
      </c>
      <c r="AF104" s="358">
        <v>996.6</v>
      </c>
      <c r="AG104" s="358">
        <v>0</v>
      </c>
      <c r="AH104" s="358" t="s">
        <v>577</v>
      </c>
      <c r="AI104" s="358" t="s">
        <v>577</v>
      </c>
      <c r="AJ104" s="358">
        <v>0</v>
      </c>
      <c r="AK104" s="358" t="s">
        <v>577</v>
      </c>
      <c r="AL104" s="358" t="s">
        <v>577</v>
      </c>
      <c r="AM104" s="358">
        <v>39.9</v>
      </c>
      <c r="AN104" s="359">
        <v>-1.7</v>
      </c>
    </row>
    <row r="105" ht="20.2" customHeight="1" spans="1:40">
      <c r="A105" s="372"/>
      <c r="B105" s="404">
        <v>2</v>
      </c>
      <c r="C105" s="357" t="s">
        <v>822</v>
      </c>
      <c r="D105" s="358" t="s">
        <v>823</v>
      </c>
      <c r="E105" s="257" t="s">
        <v>824</v>
      </c>
      <c r="F105" s="257" t="s">
        <v>825</v>
      </c>
      <c r="G105" s="257">
        <v>139.4</v>
      </c>
      <c r="H105" s="257" t="s">
        <v>47</v>
      </c>
      <c r="I105" s="257">
        <v>20.6</v>
      </c>
      <c r="J105" s="257">
        <v>8.3</v>
      </c>
      <c r="K105" s="257">
        <v>12.5</v>
      </c>
      <c r="L105" s="257">
        <v>6.6</v>
      </c>
      <c r="M105" s="257">
        <v>79</v>
      </c>
      <c r="N105" s="257">
        <v>33.5</v>
      </c>
      <c r="O105" s="257">
        <v>27.5</v>
      </c>
      <c r="P105" s="257">
        <v>31.3</v>
      </c>
      <c r="Q105" s="257">
        <v>71</v>
      </c>
      <c r="R105" s="257">
        <v>29.7</v>
      </c>
      <c r="S105" s="257">
        <v>3.1</v>
      </c>
      <c r="T105" s="257" t="s">
        <v>70</v>
      </c>
      <c r="U105" s="257">
        <v>10</v>
      </c>
      <c r="V105" s="257">
        <v>3.4</v>
      </c>
      <c r="W105" s="257">
        <v>3.3</v>
      </c>
      <c r="X105" s="257" t="s">
        <v>387</v>
      </c>
      <c r="Y105" s="257">
        <v>23</v>
      </c>
      <c r="Z105" s="257">
        <v>4</v>
      </c>
      <c r="AA105" s="257" t="s">
        <v>387</v>
      </c>
      <c r="AB105" s="257">
        <v>18</v>
      </c>
      <c r="AC105" s="257">
        <v>33</v>
      </c>
      <c r="AD105" s="257" t="s">
        <v>577</v>
      </c>
      <c r="AE105" s="257">
        <v>1006.5</v>
      </c>
      <c r="AF105" s="257">
        <v>994.5</v>
      </c>
      <c r="AG105" s="257">
        <v>0</v>
      </c>
      <c r="AH105" s="257" t="s">
        <v>577</v>
      </c>
      <c r="AI105" s="257" t="s">
        <v>577</v>
      </c>
      <c r="AJ105" s="257">
        <v>0</v>
      </c>
      <c r="AK105" s="257" t="s">
        <v>577</v>
      </c>
      <c r="AL105" s="257" t="s">
        <v>577</v>
      </c>
      <c r="AM105" s="257">
        <v>38.5</v>
      </c>
      <c r="AN105" s="270">
        <v>1.5</v>
      </c>
    </row>
    <row r="106" ht="20.2" customHeight="1" spans="1:40">
      <c r="A106" s="372"/>
      <c r="B106" s="404">
        <v>3</v>
      </c>
      <c r="C106" s="357" t="s">
        <v>826</v>
      </c>
      <c r="D106" s="358" t="s">
        <v>827</v>
      </c>
      <c r="E106" s="257" t="s">
        <v>828</v>
      </c>
      <c r="F106" s="257" t="s">
        <v>829</v>
      </c>
      <c r="G106" s="261">
        <v>28.9</v>
      </c>
      <c r="H106" s="261" t="s">
        <v>47</v>
      </c>
      <c r="I106" s="257">
        <v>21.3</v>
      </c>
      <c r="J106" s="257">
        <v>8.9</v>
      </c>
      <c r="K106" s="257">
        <v>13.2</v>
      </c>
      <c r="L106" s="257">
        <v>7.1</v>
      </c>
      <c r="M106" s="257">
        <v>76</v>
      </c>
      <c r="N106" s="257">
        <v>35.2</v>
      </c>
      <c r="O106" s="257">
        <v>27.6</v>
      </c>
      <c r="P106" s="257">
        <v>32.6</v>
      </c>
      <c r="Q106" s="257">
        <v>63</v>
      </c>
      <c r="R106" s="257">
        <v>30.8</v>
      </c>
      <c r="S106" s="257">
        <v>1.7</v>
      </c>
      <c r="T106" s="257" t="s">
        <v>278</v>
      </c>
      <c r="U106" s="257" t="s">
        <v>830</v>
      </c>
      <c r="V106" s="257">
        <v>2.8</v>
      </c>
      <c r="W106" s="257">
        <v>1.6</v>
      </c>
      <c r="X106" s="257" t="s">
        <v>278</v>
      </c>
      <c r="Y106" s="257" t="s">
        <v>831</v>
      </c>
      <c r="Z106" s="257">
        <v>2.8</v>
      </c>
      <c r="AA106" s="257" t="s">
        <v>278</v>
      </c>
      <c r="AB106" s="257" t="s">
        <v>832</v>
      </c>
      <c r="AC106" s="257">
        <v>40</v>
      </c>
      <c r="AD106" s="257" t="s">
        <v>577</v>
      </c>
      <c r="AE106" s="257">
        <v>1018.1</v>
      </c>
      <c r="AF106" s="257">
        <v>1003</v>
      </c>
      <c r="AG106" s="257">
        <v>0</v>
      </c>
      <c r="AH106" s="257" t="s">
        <v>577</v>
      </c>
      <c r="AI106" s="257" t="s">
        <v>577</v>
      </c>
      <c r="AJ106" s="257">
        <v>0</v>
      </c>
      <c r="AK106" s="257" t="s">
        <v>577</v>
      </c>
      <c r="AL106" s="257" t="s">
        <v>577</v>
      </c>
      <c r="AM106" s="257">
        <v>38.6</v>
      </c>
      <c r="AN106" s="270">
        <v>-0.1</v>
      </c>
    </row>
    <row r="107" ht="20.2" customHeight="1" spans="1:40">
      <c r="A107" s="372"/>
      <c r="B107" s="404">
        <v>4</v>
      </c>
      <c r="C107" s="357" t="s">
        <v>833</v>
      </c>
      <c r="D107" s="358" t="s">
        <v>834</v>
      </c>
      <c r="E107" s="257" t="s">
        <v>835</v>
      </c>
      <c r="F107" s="257" t="s">
        <v>836</v>
      </c>
      <c r="G107" s="261">
        <v>342.9</v>
      </c>
      <c r="H107" s="261" t="s">
        <v>47</v>
      </c>
      <c r="I107" s="257">
        <v>17.1</v>
      </c>
      <c r="J107" s="257">
        <v>1.3</v>
      </c>
      <c r="K107" s="257">
        <v>6.4</v>
      </c>
      <c r="L107" s="257">
        <v>-1</v>
      </c>
      <c r="M107" s="257">
        <v>86</v>
      </c>
      <c r="N107" s="257">
        <v>34.6</v>
      </c>
      <c r="O107" s="257">
        <v>26.5</v>
      </c>
      <c r="P107" s="257">
        <v>31.9</v>
      </c>
      <c r="Q107" s="257">
        <v>60</v>
      </c>
      <c r="R107" s="257">
        <v>28.6</v>
      </c>
      <c r="S107" s="257">
        <v>1</v>
      </c>
      <c r="T107" s="257" t="s">
        <v>285</v>
      </c>
      <c r="U107" s="257" t="s">
        <v>837</v>
      </c>
      <c r="V107" s="257">
        <v>2.7</v>
      </c>
      <c r="W107" s="257">
        <v>0.9</v>
      </c>
      <c r="X107" s="257" t="s">
        <v>285</v>
      </c>
      <c r="Y107" s="257" t="s">
        <v>838</v>
      </c>
      <c r="Z107" s="257">
        <v>2.5</v>
      </c>
      <c r="AA107" s="257" t="s">
        <v>285</v>
      </c>
      <c r="AB107" s="257" t="s">
        <v>839</v>
      </c>
      <c r="AC107" s="257">
        <v>30</v>
      </c>
      <c r="AD107" s="257">
        <v>7</v>
      </c>
      <c r="AE107" s="257">
        <v>982.4</v>
      </c>
      <c r="AF107" s="257">
        <v>967.3</v>
      </c>
      <c r="AG107" s="257">
        <v>0</v>
      </c>
      <c r="AH107" s="257" t="s">
        <v>577</v>
      </c>
      <c r="AI107" s="257" t="s">
        <v>577</v>
      </c>
      <c r="AJ107" s="257">
        <v>66</v>
      </c>
      <c r="AK107" s="257" t="s">
        <v>840</v>
      </c>
      <c r="AL107" s="257">
        <v>6.8</v>
      </c>
      <c r="AM107" s="257">
        <v>38.9</v>
      </c>
      <c r="AN107" s="270">
        <v>-10.6</v>
      </c>
    </row>
    <row r="108" s="298" customFormat="1" ht="20.2" customHeight="1" spans="1:40">
      <c r="A108" s="372"/>
      <c r="B108" s="404">
        <v>5</v>
      </c>
      <c r="C108" s="357" t="s">
        <v>841</v>
      </c>
      <c r="D108" s="358" t="s">
        <v>842</v>
      </c>
      <c r="E108" s="390" t="s">
        <v>843</v>
      </c>
      <c r="F108" s="390" t="s">
        <v>844</v>
      </c>
      <c r="G108" s="390">
        <v>125.6</v>
      </c>
      <c r="H108" s="390" t="s">
        <v>47</v>
      </c>
      <c r="I108" s="398">
        <v>19.5</v>
      </c>
      <c r="J108" s="390">
        <v>4.5</v>
      </c>
      <c r="K108" s="390">
        <v>9.7</v>
      </c>
      <c r="L108" s="390">
        <v>2.1</v>
      </c>
      <c r="M108" s="390">
        <v>78</v>
      </c>
      <c r="N108" s="390">
        <v>36.1</v>
      </c>
      <c r="O108" s="390">
        <v>27.1</v>
      </c>
      <c r="P108" s="390">
        <v>33.7</v>
      </c>
      <c r="Q108" s="390">
        <v>55</v>
      </c>
      <c r="R108" s="390">
        <v>30.7</v>
      </c>
      <c r="S108" s="390">
        <v>1.1</v>
      </c>
      <c r="T108" s="390" t="s">
        <v>845</v>
      </c>
      <c r="U108" s="390" t="s">
        <v>846</v>
      </c>
      <c r="V108" s="390">
        <v>1.8</v>
      </c>
      <c r="W108" s="390">
        <v>1</v>
      </c>
      <c r="X108" s="390" t="s">
        <v>395</v>
      </c>
      <c r="Y108" s="390" t="s">
        <v>847</v>
      </c>
      <c r="Z108" s="390">
        <v>2.1</v>
      </c>
      <c r="AA108" s="390" t="s">
        <v>395</v>
      </c>
      <c r="AB108" s="390" t="s">
        <v>848</v>
      </c>
      <c r="AC108" s="390">
        <v>31</v>
      </c>
      <c r="AD108" s="390" t="s">
        <v>577</v>
      </c>
      <c r="AE108" s="390">
        <v>1008</v>
      </c>
      <c r="AF108" s="390">
        <v>991.5</v>
      </c>
      <c r="AG108" s="390">
        <v>0</v>
      </c>
      <c r="AH108" s="390" t="s">
        <v>577</v>
      </c>
      <c r="AI108" s="390" t="s">
        <v>577</v>
      </c>
      <c r="AJ108" s="390">
        <v>0</v>
      </c>
      <c r="AK108" s="390" t="s">
        <v>577</v>
      </c>
      <c r="AL108" s="390" t="s">
        <v>577</v>
      </c>
      <c r="AM108" s="390">
        <v>39.4</v>
      </c>
      <c r="AN108" s="391">
        <v>-5.1</v>
      </c>
    </row>
    <row r="109" ht="20.2" customHeight="1" spans="1:40">
      <c r="A109" s="372"/>
      <c r="B109" s="404">
        <v>6</v>
      </c>
      <c r="C109" s="357" t="s">
        <v>849</v>
      </c>
      <c r="D109" s="358" t="s">
        <v>850</v>
      </c>
      <c r="E109" s="257" t="s">
        <v>851</v>
      </c>
      <c r="F109" s="257" t="s">
        <v>852</v>
      </c>
      <c r="G109" s="261">
        <v>342.3</v>
      </c>
      <c r="H109" s="261" t="s">
        <v>853</v>
      </c>
      <c r="I109" s="261">
        <v>20</v>
      </c>
      <c r="J109" s="257">
        <v>6.2</v>
      </c>
      <c r="K109" s="257">
        <v>11.6</v>
      </c>
      <c r="L109" s="257">
        <v>3.7</v>
      </c>
      <c r="M109" s="257">
        <v>73</v>
      </c>
      <c r="N109" s="257">
        <v>34.6</v>
      </c>
      <c r="O109" s="257">
        <v>25.5</v>
      </c>
      <c r="P109" s="257">
        <v>32.1</v>
      </c>
      <c r="Q109" s="257">
        <v>55</v>
      </c>
      <c r="R109" s="257">
        <v>29.4</v>
      </c>
      <c r="S109" s="257">
        <v>1.6</v>
      </c>
      <c r="T109" s="257" t="s">
        <v>104</v>
      </c>
      <c r="U109" s="257" t="s">
        <v>854</v>
      </c>
      <c r="V109" s="257">
        <v>2.5</v>
      </c>
      <c r="W109" s="257">
        <v>1.5</v>
      </c>
      <c r="X109" s="257" t="s">
        <v>855</v>
      </c>
      <c r="Y109" s="257" t="s">
        <v>856</v>
      </c>
      <c r="Z109" s="257">
        <v>2.2</v>
      </c>
      <c r="AA109" s="257" t="s">
        <v>855</v>
      </c>
      <c r="AB109" s="257" t="s">
        <v>857</v>
      </c>
      <c r="AC109" s="257">
        <v>41</v>
      </c>
      <c r="AD109" s="257" t="s">
        <v>577</v>
      </c>
      <c r="AE109" s="257">
        <v>981.1</v>
      </c>
      <c r="AF109" s="257">
        <v>968.1</v>
      </c>
      <c r="AG109" s="257">
        <v>0</v>
      </c>
      <c r="AH109" s="257" t="s">
        <v>577</v>
      </c>
      <c r="AI109" s="257" t="s">
        <v>577</v>
      </c>
      <c r="AJ109" s="257">
        <v>0</v>
      </c>
      <c r="AK109" s="257" t="s">
        <v>577</v>
      </c>
      <c r="AL109" s="257" t="s">
        <v>577</v>
      </c>
      <c r="AM109" s="257">
        <v>39</v>
      </c>
      <c r="AN109" s="270">
        <v>-3</v>
      </c>
    </row>
    <row r="110" s="300" customFormat="1" ht="20.2" customHeight="1" spans="1:40">
      <c r="A110" s="372"/>
      <c r="B110" s="423">
        <v>7</v>
      </c>
      <c r="C110" s="401" t="s">
        <v>858</v>
      </c>
      <c r="D110" s="402" t="s">
        <v>859</v>
      </c>
      <c r="E110" s="402" t="s">
        <v>860</v>
      </c>
      <c r="F110" s="402" t="s">
        <v>811</v>
      </c>
      <c r="G110" s="421">
        <v>869.5</v>
      </c>
      <c r="H110" s="421" t="s">
        <v>861</v>
      </c>
      <c r="I110" s="421">
        <v>15.1</v>
      </c>
      <c r="J110" s="402">
        <v>0.7</v>
      </c>
      <c r="K110" s="402">
        <v>5.8</v>
      </c>
      <c r="L110" s="402">
        <v>-1.7</v>
      </c>
      <c r="M110" s="402">
        <v>82</v>
      </c>
      <c r="N110" s="402">
        <v>30.9</v>
      </c>
      <c r="O110" s="402">
        <v>23.8</v>
      </c>
      <c r="P110" s="402">
        <v>28.1</v>
      </c>
      <c r="Q110" s="402">
        <v>63</v>
      </c>
      <c r="R110" s="402">
        <v>25.9</v>
      </c>
      <c r="S110" s="402">
        <v>1.9</v>
      </c>
      <c r="T110" s="402" t="s">
        <v>356</v>
      </c>
      <c r="U110" s="402" t="s">
        <v>862</v>
      </c>
      <c r="V110" s="402">
        <v>3.1</v>
      </c>
      <c r="W110" s="402">
        <v>1.4</v>
      </c>
      <c r="X110" s="402" t="s">
        <v>855</v>
      </c>
      <c r="Y110" s="402" t="s">
        <v>863</v>
      </c>
      <c r="Z110" s="402">
        <v>2.5</v>
      </c>
      <c r="AA110" s="402" t="s">
        <v>395</v>
      </c>
      <c r="AB110" s="402" t="s">
        <v>236</v>
      </c>
      <c r="AC110" s="402">
        <v>36</v>
      </c>
      <c r="AD110" s="402" t="s">
        <v>577</v>
      </c>
      <c r="AE110" s="402">
        <v>921.7</v>
      </c>
      <c r="AF110" s="402">
        <v>911.6</v>
      </c>
      <c r="AG110" s="402">
        <v>0</v>
      </c>
      <c r="AH110" s="402" t="s">
        <v>577</v>
      </c>
      <c r="AI110" s="402" t="s">
        <v>577</v>
      </c>
      <c r="AJ110" s="402">
        <v>87</v>
      </c>
      <c r="AK110" s="402" t="s">
        <v>864</v>
      </c>
      <c r="AL110" s="402">
        <v>6.5</v>
      </c>
      <c r="AM110" s="402">
        <v>35</v>
      </c>
      <c r="AN110" s="403">
        <v>-9.7</v>
      </c>
    </row>
    <row r="111" s="299" customFormat="1" ht="20.2" customHeight="1" spans="1:40">
      <c r="A111" s="424" t="s">
        <v>865</v>
      </c>
      <c r="B111" s="425">
        <v>1</v>
      </c>
      <c r="C111" s="394" t="s">
        <v>866</v>
      </c>
      <c r="D111" s="393" t="s">
        <v>867</v>
      </c>
      <c r="E111" s="393" t="s">
        <v>868</v>
      </c>
      <c r="F111" s="393" t="s">
        <v>869</v>
      </c>
      <c r="G111" s="393">
        <v>46.7</v>
      </c>
      <c r="H111" s="393" t="s">
        <v>47</v>
      </c>
      <c r="I111" s="426">
        <v>17.6</v>
      </c>
      <c r="J111" s="393">
        <v>0.7</v>
      </c>
      <c r="K111" s="393">
        <v>5.3</v>
      </c>
      <c r="L111" s="393">
        <v>-1.5</v>
      </c>
      <c r="M111" s="393">
        <v>77</v>
      </c>
      <c r="N111" s="393">
        <v>35.5</v>
      </c>
      <c r="O111" s="393">
        <v>28.2</v>
      </c>
      <c r="P111" s="393">
        <v>32.7</v>
      </c>
      <c r="Q111" s="393">
        <v>63</v>
      </c>
      <c r="R111" s="393">
        <v>32.1</v>
      </c>
      <c r="S111" s="393">
        <v>2.2</v>
      </c>
      <c r="T111" s="393" t="s">
        <v>356</v>
      </c>
      <c r="U111" s="393" t="s">
        <v>870</v>
      </c>
      <c r="V111" s="393">
        <v>3.1</v>
      </c>
      <c r="W111" s="393">
        <v>2.6</v>
      </c>
      <c r="X111" s="393" t="s">
        <v>262</v>
      </c>
      <c r="Y111" s="393">
        <v>26</v>
      </c>
      <c r="Z111" s="393">
        <v>3.6</v>
      </c>
      <c r="AA111" s="393" t="s">
        <v>262</v>
      </c>
      <c r="AB111" s="393">
        <v>20</v>
      </c>
      <c r="AC111" s="393">
        <v>33</v>
      </c>
      <c r="AD111" s="393" t="s">
        <v>577</v>
      </c>
      <c r="AE111" s="393">
        <v>1019.5</v>
      </c>
      <c r="AF111" s="393">
        <v>999.5</v>
      </c>
      <c r="AG111" s="393">
        <v>26</v>
      </c>
      <c r="AH111" s="393" t="s">
        <v>871</v>
      </c>
      <c r="AI111" s="393">
        <v>4.7</v>
      </c>
      <c r="AJ111" s="393">
        <v>66</v>
      </c>
      <c r="AK111" s="393" t="s">
        <v>872</v>
      </c>
      <c r="AL111" s="393">
        <v>6.2</v>
      </c>
      <c r="AM111" s="393">
        <v>40.1</v>
      </c>
      <c r="AN111" s="395">
        <v>-9.7</v>
      </c>
    </row>
    <row r="112" ht="20.2" customHeight="1" spans="1:40">
      <c r="A112" s="427"/>
      <c r="B112" s="255">
        <v>2</v>
      </c>
      <c r="C112" s="253" t="s">
        <v>873</v>
      </c>
      <c r="D112" s="255" t="s">
        <v>874</v>
      </c>
      <c r="E112" s="257" t="s">
        <v>875</v>
      </c>
      <c r="F112" s="257" t="s">
        <v>876</v>
      </c>
      <c r="G112" s="257">
        <v>61.5</v>
      </c>
      <c r="H112" s="257" t="s">
        <v>47</v>
      </c>
      <c r="I112" s="261">
        <v>17.4</v>
      </c>
      <c r="J112" s="257">
        <v>1</v>
      </c>
      <c r="K112" s="257">
        <v>5.3</v>
      </c>
      <c r="L112" s="257">
        <v>-1.4</v>
      </c>
      <c r="M112" s="257">
        <v>78</v>
      </c>
      <c r="N112" s="257">
        <v>36</v>
      </c>
      <c r="O112" s="257">
        <v>27.7</v>
      </c>
      <c r="P112" s="257">
        <v>33</v>
      </c>
      <c r="Q112" s="257">
        <v>62</v>
      </c>
      <c r="R112" s="257">
        <v>31.5</v>
      </c>
      <c r="S112" s="257">
        <v>2.1</v>
      </c>
      <c r="T112" s="257" t="s">
        <v>855</v>
      </c>
      <c r="U112" s="257" t="s">
        <v>877</v>
      </c>
      <c r="V112" s="257">
        <v>2.3</v>
      </c>
      <c r="W112" s="257">
        <v>1.9</v>
      </c>
      <c r="X112" s="257" t="s">
        <v>855</v>
      </c>
      <c r="Y112" s="257" t="s">
        <v>878</v>
      </c>
      <c r="Z112" s="257">
        <v>2.8</v>
      </c>
      <c r="AA112" s="257" t="s">
        <v>855</v>
      </c>
      <c r="AB112" s="257" t="s">
        <v>879</v>
      </c>
      <c r="AC112" s="257">
        <v>365</v>
      </c>
      <c r="AD112" s="257" t="s">
        <v>577</v>
      </c>
      <c r="AE112" s="257">
        <v>1017.9</v>
      </c>
      <c r="AF112" s="257">
        <v>998.5</v>
      </c>
      <c r="AG112" s="257">
        <v>25</v>
      </c>
      <c r="AH112" s="257" t="s">
        <v>880</v>
      </c>
      <c r="AI112" s="257">
        <v>4.8</v>
      </c>
      <c r="AJ112" s="257">
        <v>68</v>
      </c>
      <c r="AK112" s="257" t="s">
        <v>881</v>
      </c>
      <c r="AL112" s="257">
        <v>6.1</v>
      </c>
      <c r="AM112" s="257">
        <v>40.4</v>
      </c>
      <c r="AN112" s="270">
        <v>-9.6</v>
      </c>
    </row>
    <row r="113" ht="20.2" customHeight="1" spans="1:40">
      <c r="A113" s="427"/>
      <c r="B113" s="255">
        <v>3</v>
      </c>
      <c r="C113" s="253" t="s">
        <v>882</v>
      </c>
      <c r="D113" s="255" t="s">
        <v>883</v>
      </c>
      <c r="E113" s="257" t="s">
        <v>884</v>
      </c>
      <c r="F113" s="257" t="s">
        <v>885</v>
      </c>
      <c r="G113" s="257">
        <v>36.1</v>
      </c>
      <c r="H113" s="257" t="s">
        <v>47</v>
      </c>
      <c r="I113" s="261">
        <v>17</v>
      </c>
      <c r="J113" s="257">
        <v>0.4</v>
      </c>
      <c r="K113" s="257">
        <v>4.5</v>
      </c>
      <c r="L113" s="257">
        <v>-2.3</v>
      </c>
      <c r="M113" s="257">
        <v>77</v>
      </c>
      <c r="N113" s="257">
        <v>35.8</v>
      </c>
      <c r="O113" s="257">
        <v>27.8</v>
      </c>
      <c r="P113" s="257">
        <v>32.7</v>
      </c>
      <c r="Q113" s="257">
        <v>64</v>
      </c>
      <c r="R113" s="257">
        <v>32.5</v>
      </c>
      <c r="S113" s="257">
        <v>2.3</v>
      </c>
      <c r="T113" s="257" t="s">
        <v>395</v>
      </c>
      <c r="U113" s="257" t="s">
        <v>404</v>
      </c>
      <c r="V113" s="257">
        <v>2.3</v>
      </c>
      <c r="W113" s="257">
        <v>2.7</v>
      </c>
      <c r="X113" s="257" t="s">
        <v>381</v>
      </c>
      <c r="Y113" s="257">
        <v>20</v>
      </c>
      <c r="Z113" s="257">
        <v>4.1</v>
      </c>
      <c r="AA113" s="257" t="s">
        <v>381</v>
      </c>
      <c r="AB113" s="257">
        <v>17</v>
      </c>
      <c r="AC113" s="257">
        <v>30</v>
      </c>
      <c r="AD113" s="257" t="s">
        <v>577</v>
      </c>
      <c r="AE113" s="257">
        <v>1021.7</v>
      </c>
      <c r="AF113" s="257">
        <v>1000.7</v>
      </c>
      <c r="AG113" s="257">
        <v>46</v>
      </c>
      <c r="AH113" s="257" t="s">
        <v>886</v>
      </c>
      <c r="AI113" s="257">
        <v>4.6</v>
      </c>
      <c r="AJ113" s="257">
        <v>89</v>
      </c>
      <c r="AK113" s="257" t="s">
        <v>887</v>
      </c>
      <c r="AL113" s="257">
        <v>5.5</v>
      </c>
      <c r="AM113" s="257">
        <v>40.3</v>
      </c>
      <c r="AN113" s="270">
        <v>-7</v>
      </c>
    </row>
    <row r="114" ht="20.2" customHeight="1" spans="1:40">
      <c r="A114" s="427"/>
      <c r="B114" s="255">
        <v>4</v>
      </c>
      <c r="C114" s="253" t="s">
        <v>888</v>
      </c>
      <c r="D114" s="255" t="s">
        <v>889</v>
      </c>
      <c r="E114" s="257" t="s">
        <v>890</v>
      </c>
      <c r="F114" s="257" t="s">
        <v>891</v>
      </c>
      <c r="G114" s="257">
        <v>116.3</v>
      </c>
      <c r="H114" s="257" t="s">
        <v>47</v>
      </c>
      <c r="I114" s="257">
        <v>17.5</v>
      </c>
      <c r="J114" s="257">
        <v>1.1</v>
      </c>
      <c r="K114" s="257">
        <v>5.5</v>
      </c>
      <c r="L114" s="257">
        <v>-1.2</v>
      </c>
      <c r="M114" s="257">
        <v>80</v>
      </c>
      <c r="N114" s="257">
        <v>36.1</v>
      </c>
      <c r="O114" s="257">
        <v>27.4</v>
      </c>
      <c r="P114" s="257">
        <v>33.1</v>
      </c>
      <c r="Q114" s="257">
        <v>60</v>
      </c>
      <c r="R114" s="257">
        <v>31.6</v>
      </c>
      <c r="S114" s="257">
        <v>2</v>
      </c>
      <c r="T114" s="257" t="s">
        <v>381</v>
      </c>
      <c r="U114" s="257">
        <v>22</v>
      </c>
      <c r="V114" s="257">
        <v>2.5</v>
      </c>
      <c r="W114" s="257">
        <v>2.4</v>
      </c>
      <c r="X114" s="257" t="s">
        <v>381</v>
      </c>
      <c r="Y114" s="257">
        <v>29</v>
      </c>
      <c r="Z114" s="257">
        <v>3.2</v>
      </c>
      <c r="AA114" s="257" t="s">
        <v>381</v>
      </c>
      <c r="AB114" s="257">
        <v>28</v>
      </c>
      <c r="AC114" s="257">
        <v>33</v>
      </c>
      <c r="AD114" s="257" t="s">
        <v>577</v>
      </c>
      <c r="AE114" s="257">
        <v>1011.4</v>
      </c>
      <c r="AF114" s="257">
        <v>992.9</v>
      </c>
      <c r="AG114" s="257">
        <v>8</v>
      </c>
      <c r="AH114" s="257" t="s">
        <v>892</v>
      </c>
      <c r="AI114" s="257">
        <v>4.9</v>
      </c>
      <c r="AJ114" s="257">
        <v>67</v>
      </c>
      <c r="AK114" s="257" t="s">
        <v>787</v>
      </c>
      <c r="AL114" s="257">
        <v>6.3</v>
      </c>
      <c r="AM114" s="257">
        <v>40.7</v>
      </c>
      <c r="AN114" s="270">
        <v>-9.5</v>
      </c>
    </row>
    <row r="115" ht="20.2" customHeight="1" spans="1:40">
      <c r="A115" s="427"/>
      <c r="B115" s="255">
        <v>5</v>
      </c>
      <c r="C115" s="253" t="s">
        <v>893</v>
      </c>
      <c r="D115" s="255" t="s">
        <v>894</v>
      </c>
      <c r="E115" s="257" t="s">
        <v>895</v>
      </c>
      <c r="F115" s="257" t="s">
        <v>896</v>
      </c>
      <c r="G115" s="257">
        <v>123.8</v>
      </c>
      <c r="H115" s="257" t="s">
        <v>47</v>
      </c>
      <c r="I115" s="257">
        <v>19.4</v>
      </c>
      <c r="J115" s="257">
        <v>2.7</v>
      </c>
      <c r="K115" s="257">
        <v>8.2</v>
      </c>
      <c r="L115" s="257">
        <v>-0.5</v>
      </c>
      <c r="M115" s="257">
        <v>77</v>
      </c>
      <c r="N115" s="257">
        <v>35.4</v>
      </c>
      <c r="O115" s="257">
        <v>27</v>
      </c>
      <c r="P115" s="257">
        <v>33.2</v>
      </c>
      <c r="Q115" s="257">
        <v>57</v>
      </c>
      <c r="R115" s="257">
        <v>31.7</v>
      </c>
      <c r="S115" s="257">
        <v>1.8</v>
      </c>
      <c r="T115" s="257" t="s">
        <v>52</v>
      </c>
      <c r="U115" s="257" t="s">
        <v>897</v>
      </c>
      <c r="V115" s="257">
        <v>2.5</v>
      </c>
      <c r="W115" s="257">
        <v>1.6</v>
      </c>
      <c r="X115" s="257" t="s">
        <v>188</v>
      </c>
      <c r="Y115" s="257" t="s">
        <v>898</v>
      </c>
      <c r="Z115" s="257">
        <v>2.4</v>
      </c>
      <c r="AA115" s="257" t="s">
        <v>188</v>
      </c>
      <c r="AB115" s="257" t="s">
        <v>899</v>
      </c>
      <c r="AC115" s="257">
        <v>31</v>
      </c>
      <c r="AD115" s="257" t="s">
        <v>577</v>
      </c>
      <c r="AE115" s="257">
        <v>1008.7</v>
      </c>
      <c r="AF115" s="257">
        <v>991.2</v>
      </c>
      <c r="AG115" s="257">
        <v>0</v>
      </c>
      <c r="AH115" s="257" t="s">
        <v>577</v>
      </c>
      <c r="AI115" s="257" t="s">
        <v>577</v>
      </c>
      <c r="AJ115" s="257">
        <v>12</v>
      </c>
      <c r="AK115" s="257" t="s">
        <v>900</v>
      </c>
      <c r="AL115" s="257">
        <v>7.7</v>
      </c>
      <c r="AM115" s="257">
        <v>40</v>
      </c>
      <c r="AN115" s="270">
        <v>-3.8</v>
      </c>
    </row>
    <row r="116" s="298" customFormat="1" ht="20.2" customHeight="1" spans="1:40">
      <c r="A116" s="427"/>
      <c r="B116" s="255">
        <v>6</v>
      </c>
      <c r="C116" s="253" t="s">
        <v>901</v>
      </c>
      <c r="D116" s="255" t="s">
        <v>902</v>
      </c>
      <c r="E116" s="390" t="s">
        <v>903</v>
      </c>
      <c r="F116" s="390" t="s">
        <v>904</v>
      </c>
      <c r="G116" s="390">
        <v>76.4</v>
      </c>
      <c r="H116" s="390" t="s">
        <v>47</v>
      </c>
      <c r="I116" s="390">
        <v>18.4</v>
      </c>
      <c r="J116" s="390">
        <v>1.7</v>
      </c>
      <c r="K116" s="390">
        <v>6.5</v>
      </c>
      <c r="L116" s="390">
        <v>-0.5</v>
      </c>
      <c r="M116" s="390">
        <v>81</v>
      </c>
      <c r="N116" s="390">
        <v>35.9</v>
      </c>
      <c r="O116" s="390">
        <v>27.6</v>
      </c>
      <c r="P116" s="390">
        <v>33.4</v>
      </c>
      <c r="Q116" s="390">
        <v>58</v>
      </c>
      <c r="R116" s="390">
        <v>32</v>
      </c>
      <c r="S116" s="390">
        <v>2.4</v>
      </c>
      <c r="T116" s="390" t="s">
        <v>296</v>
      </c>
      <c r="U116" s="390">
        <v>21</v>
      </c>
      <c r="V116" s="390">
        <v>3.2</v>
      </c>
      <c r="W116" s="390">
        <v>2</v>
      </c>
      <c r="X116" s="390" t="s">
        <v>369</v>
      </c>
      <c r="Y116" s="390">
        <v>28</v>
      </c>
      <c r="Z116" s="390">
        <v>2.5</v>
      </c>
      <c r="AA116" s="390" t="s">
        <v>369</v>
      </c>
      <c r="AB116" s="390">
        <v>21</v>
      </c>
      <c r="AC116" s="390">
        <v>28</v>
      </c>
      <c r="AD116" s="390" t="s">
        <v>577</v>
      </c>
      <c r="AE116" s="390">
        <v>1015.4</v>
      </c>
      <c r="AF116" s="390">
        <v>996.3</v>
      </c>
      <c r="AG116" s="390">
        <v>0</v>
      </c>
      <c r="AH116" s="390" t="s">
        <v>577</v>
      </c>
      <c r="AI116" s="390" t="s">
        <v>577</v>
      </c>
      <c r="AJ116" s="390">
        <v>53</v>
      </c>
      <c r="AK116" s="390" t="s">
        <v>905</v>
      </c>
      <c r="AL116" s="390">
        <v>6.7</v>
      </c>
      <c r="AM116" s="390">
        <v>40.3</v>
      </c>
      <c r="AN116" s="391">
        <v>-8</v>
      </c>
    </row>
    <row r="117" ht="20.2" customHeight="1" spans="1:40">
      <c r="A117" s="427"/>
      <c r="B117" s="255">
        <v>7</v>
      </c>
      <c r="C117" s="253" t="s">
        <v>906</v>
      </c>
      <c r="D117" s="255" t="s">
        <v>907</v>
      </c>
      <c r="E117" s="257" t="s">
        <v>908</v>
      </c>
      <c r="F117" s="257" t="s">
        <v>909</v>
      </c>
      <c r="G117" s="257">
        <v>131.3</v>
      </c>
      <c r="H117" s="257" t="s">
        <v>47</v>
      </c>
      <c r="I117" s="257">
        <v>17.2</v>
      </c>
      <c r="J117" s="257">
        <v>1</v>
      </c>
      <c r="K117" s="257">
        <v>5.4</v>
      </c>
      <c r="L117" s="257">
        <v>-0.8</v>
      </c>
      <c r="M117" s="257">
        <v>81</v>
      </c>
      <c r="N117" s="257">
        <v>35.4</v>
      </c>
      <c r="O117" s="257">
        <v>27.4</v>
      </c>
      <c r="P117" s="257">
        <v>32.3</v>
      </c>
      <c r="Q117" s="257">
        <v>63</v>
      </c>
      <c r="R117" s="257">
        <v>30.8</v>
      </c>
      <c r="S117" s="257">
        <v>1.8</v>
      </c>
      <c r="T117" s="257" t="s">
        <v>144</v>
      </c>
      <c r="U117" s="257" t="s">
        <v>163</v>
      </c>
      <c r="V117" s="257">
        <v>3</v>
      </c>
      <c r="W117" s="257">
        <v>1.9</v>
      </c>
      <c r="X117" s="257" t="s">
        <v>144</v>
      </c>
      <c r="Y117" s="257" t="s">
        <v>879</v>
      </c>
      <c r="Z117" s="257">
        <v>3.5</v>
      </c>
      <c r="AA117" s="257" t="s">
        <v>144</v>
      </c>
      <c r="AB117" s="257" t="s">
        <v>112</v>
      </c>
      <c r="AC117" s="257">
        <v>27</v>
      </c>
      <c r="AD117" s="257" t="s">
        <v>577</v>
      </c>
      <c r="AE117" s="257">
        <v>1009.4</v>
      </c>
      <c r="AF117" s="257">
        <v>990.4</v>
      </c>
      <c r="AG117" s="257">
        <v>9</v>
      </c>
      <c r="AH117" s="257" t="s">
        <v>910</v>
      </c>
      <c r="AI117" s="257">
        <v>4.8</v>
      </c>
      <c r="AJ117" s="257">
        <v>66</v>
      </c>
      <c r="AK117" s="257" t="s">
        <v>872</v>
      </c>
      <c r="AL117" s="257">
        <v>6.2</v>
      </c>
      <c r="AM117" s="257">
        <v>39.6</v>
      </c>
      <c r="AN117" s="270">
        <v>-8.5</v>
      </c>
    </row>
    <row r="118" ht="20.2" customHeight="1" spans="1:40">
      <c r="A118" s="427"/>
      <c r="B118" s="255">
        <v>8</v>
      </c>
      <c r="C118" s="253" t="s">
        <v>911</v>
      </c>
      <c r="D118" s="255" t="s">
        <v>912</v>
      </c>
      <c r="E118" s="257" t="s">
        <v>913</v>
      </c>
      <c r="F118" s="257" t="s">
        <v>914</v>
      </c>
      <c r="G118" s="257">
        <v>143.8</v>
      </c>
      <c r="H118" s="257" t="s">
        <v>47</v>
      </c>
      <c r="I118" s="257">
        <v>18.2</v>
      </c>
      <c r="J118" s="257">
        <v>1.6</v>
      </c>
      <c r="K118" s="257">
        <v>6.6</v>
      </c>
      <c r="L118" s="257">
        <v>-0.6</v>
      </c>
      <c r="M118" s="257">
        <v>81</v>
      </c>
      <c r="N118" s="257">
        <v>35.7</v>
      </c>
      <c r="O118" s="257">
        <v>27.1</v>
      </c>
      <c r="P118" s="257">
        <v>33.2</v>
      </c>
      <c r="Q118" s="257">
        <v>56</v>
      </c>
      <c r="R118" s="257">
        <v>30.9</v>
      </c>
      <c r="S118" s="257">
        <v>1.6</v>
      </c>
      <c r="T118" s="257" t="s">
        <v>52</v>
      </c>
      <c r="U118" s="257" t="s">
        <v>915</v>
      </c>
      <c r="V118" s="257">
        <v>2.1</v>
      </c>
      <c r="W118" s="257">
        <v>1.6</v>
      </c>
      <c r="X118" s="257" t="s">
        <v>855</v>
      </c>
      <c r="Y118" s="257" t="s">
        <v>916</v>
      </c>
      <c r="Z118" s="257">
        <v>2.6</v>
      </c>
      <c r="AA118" s="257" t="s">
        <v>855</v>
      </c>
      <c r="AB118" s="257" t="s">
        <v>917</v>
      </c>
      <c r="AC118" s="257">
        <v>30</v>
      </c>
      <c r="AD118" s="257" t="s">
        <v>577</v>
      </c>
      <c r="AE118" s="257">
        <v>1006.7</v>
      </c>
      <c r="AF118" s="257">
        <v>989.2</v>
      </c>
      <c r="AG118" s="257">
        <v>0</v>
      </c>
      <c r="AH118" s="257" t="s">
        <v>577</v>
      </c>
      <c r="AI118" s="257" t="s">
        <v>577</v>
      </c>
      <c r="AJ118" s="257">
        <v>54</v>
      </c>
      <c r="AK118" s="257" t="s">
        <v>918</v>
      </c>
      <c r="AL118" s="257">
        <v>6.8</v>
      </c>
      <c r="AM118" s="257">
        <v>40</v>
      </c>
      <c r="AN118" s="270">
        <v>-9.3</v>
      </c>
    </row>
    <row r="119" s="304" customFormat="1" ht="20.2" customHeight="1" spans="1:40">
      <c r="A119" s="428"/>
      <c r="B119" s="429">
        <v>9</v>
      </c>
      <c r="C119" s="430" t="s">
        <v>919</v>
      </c>
      <c r="D119" s="429" t="s">
        <v>920</v>
      </c>
      <c r="E119" s="429" t="s">
        <v>921</v>
      </c>
      <c r="F119" s="429" t="s">
        <v>922</v>
      </c>
      <c r="G119" s="429">
        <v>51.2</v>
      </c>
      <c r="H119" s="429" t="s">
        <v>47</v>
      </c>
      <c r="I119" s="429">
        <v>18.3</v>
      </c>
      <c r="J119" s="429">
        <v>1.8</v>
      </c>
      <c r="K119" s="429">
        <v>6.2</v>
      </c>
      <c r="L119" s="429">
        <v>-0.6</v>
      </c>
      <c r="M119" s="429">
        <v>78</v>
      </c>
      <c r="N119" s="429">
        <v>36.4</v>
      </c>
      <c r="O119" s="429">
        <v>27.6</v>
      </c>
      <c r="P119" s="429">
        <v>33.6</v>
      </c>
      <c r="Q119" s="429">
        <v>58</v>
      </c>
      <c r="R119" s="429">
        <v>32.7</v>
      </c>
      <c r="S119" s="429">
        <v>1.9</v>
      </c>
      <c r="T119" s="429" t="s">
        <v>636</v>
      </c>
      <c r="U119" s="429" t="s">
        <v>923</v>
      </c>
      <c r="V119" s="429">
        <v>2.4</v>
      </c>
      <c r="W119" s="429">
        <v>1.8</v>
      </c>
      <c r="X119" s="429" t="s">
        <v>636</v>
      </c>
      <c r="Y119" s="429" t="s">
        <v>924</v>
      </c>
      <c r="Z119" s="429">
        <v>3.1</v>
      </c>
      <c r="AA119" s="429" t="s">
        <v>636</v>
      </c>
      <c r="AB119" s="429" t="s">
        <v>925</v>
      </c>
      <c r="AC119" s="429">
        <v>32</v>
      </c>
      <c r="AD119" s="429" t="s">
        <v>577</v>
      </c>
      <c r="AE119" s="429">
        <v>1018.7</v>
      </c>
      <c r="AF119" s="429">
        <v>999.3</v>
      </c>
      <c r="AG119" s="429">
        <v>0</v>
      </c>
      <c r="AH119" s="429" t="s">
        <v>577</v>
      </c>
      <c r="AI119" s="429" t="s">
        <v>577</v>
      </c>
      <c r="AJ119" s="429">
        <v>56</v>
      </c>
      <c r="AK119" s="429" t="s">
        <v>629</v>
      </c>
      <c r="AL119" s="429">
        <v>6.6</v>
      </c>
      <c r="AM119" s="429">
        <v>40.4</v>
      </c>
      <c r="AN119" s="431">
        <v>-9.3</v>
      </c>
    </row>
    <row r="120" s="305" customFormat="1" ht="20.2" customHeight="1" spans="1:40">
      <c r="A120" s="432" t="s">
        <v>926</v>
      </c>
      <c r="B120" s="433">
        <v>1</v>
      </c>
      <c r="C120" s="434" t="s">
        <v>927</v>
      </c>
      <c r="D120" s="433" t="s">
        <v>928</v>
      </c>
      <c r="E120" s="433" t="s">
        <v>929</v>
      </c>
      <c r="F120" s="433" t="s">
        <v>799</v>
      </c>
      <c r="G120" s="433">
        <v>51.6</v>
      </c>
      <c r="H120" s="433" t="s">
        <v>47</v>
      </c>
      <c r="I120" s="433">
        <v>14.7</v>
      </c>
      <c r="J120" s="433">
        <v>-5.3</v>
      </c>
      <c r="K120" s="433">
        <v>-0.4</v>
      </c>
      <c r="L120" s="433">
        <v>-7.7</v>
      </c>
      <c r="M120" s="433">
        <v>53</v>
      </c>
      <c r="N120" s="433">
        <v>34.7</v>
      </c>
      <c r="O120" s="433">
        <v>26.8</v>
      </c>
      <c r="P120" s="433">
        <v>30.9</v>
      </c>
      <c r="Q120" s="433">
        <v>61</v>
      </c>
      <c r="R120" s="433">
        <v>31.3</v>
      </c>
      <c r="S120" s="433">
        <v>2.8</v>
      </c>
      <c r="T120" s="433" t="s">
        <v>153</v>
      </c>
      <c r="U120" s="433">
        <v>14</v>
      </c>
      <c r="V120" s="433">
        <v>3.6</v>
      </c>
      <c r="W120" s="433">
        <v>2.9</v>
      </c>
      <c r="X120" s="433" t="s">
        <v>622</v>
      </c>
      <c r="Y120" s="433">
        <v>16</v>
      </c>
      <c r="Z120" s="433">
        <v>3.7</v>
      </c>
      <c r="AA120" s="433" t="s">
        <v>153</v>
      </c>
      <c r="AB120" s="433">
        <v>17</v>
      </c>
      <c r="AC120" s="433">
        <v>56</v>
      </c>
      <c r="AD120" s="433">
        <v>35</v>
      </c>
      <c r="AE120" s="433">
        <v>1019.1</v>
      </c>
      <c r="AF120" s="433">
        <v>997.9</v>
      </c>
      <c r="AG120" s="433">
        <v>99</v>
      </c>
      <c r="AH120" s="433" t="s">
        <v>930</v>
      </c>
      <c r="AI120" s="433">
        <v>1.4</v>
      </c>
      <c r="AJ120" s="433">
        <v>122</v>
      </c>
      <c r="AK120" s="433" t="s">
        <v>931</v>
      </c>
      <c r="AL120" s="433">
        <v>2.1</v>
      </c>
      <c r="AM120" s="433">
        <v>40.5</v>
      </c>
      <c r="AN120" s="435">
        <v>-14.9</v>
      </c>
    </row>
    <row r="121" ht="20.2" customHeight="1" spans="1:40">
      <c r="A121" s="372"/>
      <c r="B121" s="436">
        <v>2</v>
      </c>
      <c r="C121" s="357" t="s">
        <v>932</v>
      </c>
      <c r="D121" s="358" t="s">
        <v>933</v>
      </c>
      <c r="E121" s="257" t="s">
        <v>251</v>
      </c>
      <c r="F121" s="257" t="s">
        <v>934</v>
      </c>
      <c r="G121" s="261">
        <v>76</v>
      </c>
      <c r="H121" s="261" t="s">
        <v>47</v>
      </c>
      <c r="I121" s="257">
        <v>12.7</v>
      </c>
      <c r="J121" s="257">
        <v>-5</v>
      </c>
      <c r="K121" s="257">
        <v>-0.5</v>
      </c>
      <c r="L121" s="257">
        <v>-7.2</v>
      </c>
      <c r="M121" s="257">
        <v>63</v>
      </c>
      <c r="N121" s="257">
        <v>29.4</v>
      </c>
      <c r="O121" s="257">
        <v>26</v>
      </c>
      <c r="P121" s="257">
        <v>27.3</v>
      </c>
      <c r="Q121" s="257">
        <v>73</v>
      </c>
      <c r="R121" s="257">
        <v>27.3</v>
      </c>
      <c r="S121" s="257">
        <v>4.6</v>
      </c>
      <c r="T121" s="257" t="s">
        <v>687</v>
      </c>
      <c r="U121" s="257">
        <v>17</v>
      </c>
      <c r="V121" s="257">
        <v>4.6</v>
      </c>
      <c r="W121" s="257">
        <v>5.4</v>
      </c>
      <c r="X121" s="257" t="s">
        <v>123</v>
      </c>
      <c r="Y121" s="257">
        <v>23</v>
      </c>
      <c r="Z121" s="257">
        <v>6.6</v>
      </c>
      <c r="AA121" s="257" t="s">
        <v>687</v>
      </c>
      <c r="AB121" s="257">
        <v>14</v>
      </c>
      <c r="AC121" s="257">
        <v>59</v>
      </c>
      <c r="AD121" s="257" t="s">
        <v>577</v>
      </c>
      <c r="AE121" s="257">
        <v>1017.4</v>
      </c>
      <c r="AF121" s="257">
        <v>1000.4</v>
      </c>
      <c r="AG121" s="257">
        <v>108</v>
      </c>
      <c r="AH121" s="257" t="s">
        <v>935</v>
      </c>
      <c r="AI121" s="257">
        <v>1.3</v>
      </c>
      <c r="AJ121" s="257">
        <v>141</v>
      </c>
      <c r="AK121" s="257" t="s">
        <v>936</v>
      </c>
      <c r="AL121" s="257">
        <v>2.6</v>
      </c>
      <c r="AM121" s="257">
        <v>37.4</v>
      </c>
      <c r="AN121" s="270">
        <v>-14.3</v>
      </c>
    </row>
    <row r="122" ht="20.2" customHeight="1" spans="1:40">
      <c r="A122" s="372"/>
      <c r="B122" s="436">
        <v>3</v>
      </c>
      <c r="C122" s="357" t="s">
        <v>937</v>
      </c>
      <c r="D122" s="358" t="s">
        <v>938</v>
      </c>
      <c r="E122" s="257" t="s">
        <v>939</v>
      </c>
      <c r="F122" s="257" t="s">
        <v>940</v>
      </c>
      <c r="G122" s="261">
        <v>34</v>
      </c>
      <c r="H122" s="261" t="s">
        <v>941</v>
      </c>
      <c r="I122" s="257">
        <v>13.2</v>
      </c>
      <c r="J122" s="257">
        <v>-7.4</v>
      </c>
      <c r="K122" s="257">
        <v>-2.3</v>
      </c>
      <c r="L122" s="257">
        <v>-10.3</v>
      </c>
      <c r="M122" s="257">
        <v>61</v>
      </c>
      <c r="N122" s="257">
        <v>34.6</v>
      </c>
      <c r="O122" s="257">
        <v>26.7</v>
      </c>
      <c r="P122" s="257">
        <v>30.9</v>
      </c>
      <c r="Q122" s="257">
        <v>62</v>
      </c>
      <c r="R122" s="257">
        <v>30</v>
      </c>
      <c r="S122" s="257">
        <v>2.4</v>
      </c>
      <c r="T122" s="257" t="s">
        <v>153</v>
      </c>
      <c r="U122" s="257">
        <v>17</v>
      </c>
      <c r="V122" s="257">
        <v>2.7</v>
      </c>
      <c r="W122" s="257">
        <v>2.7</v>
      </c>
      <c r="X122" s="257" t="s">
        <v>153</v>
      </c>
      <c r="Y122" s="257">
        <v>15</v>
      </c>
      <c r="Z122" s="257">
        <v>3.3</v>
      </c>
      <c r="AA122" s="257" t="s">
        <v>153</v>
      </c>
      <c r="AB122" s="257">
        <v>18</v>
      </c>
      <c r="AC122" s="257">
        <v>51</v>
      </c>
      <c r="AD122" s="257">
        <v>46</v>
      </c>
      <c r="AE122" s="257">
        <v>1023.7</v>
      </c>
      <c r="AF122" s="257">
        <v>1001.4</v>
      </c>
      <c r="AG122" s="257">
        <v>113</v>
      </c>
      <c r="AH122" s="257" t="s">
        <v>942</v>
      </c>
      <c r="AI122" s="257">
        <v>0</v>
      </c>
      <c r="AJ122" s="257">
        <v>140</v>
      </c>
      <c r="AK122" s="257" t="s">
        <v>943</v>
      </c>
      <c r="AL122" s="257">
        <v>1.3</v>
      </c>
      <c r="AM122" s="257">
        <v>40.7</v>
      </c>
      <c r="AN122" s="270">
        <v>-23</v>
      </c>
    </row>
    <row r="123" s="306" customFormat="1" ht="20.2" customHeight="1" spans="1:40">
      <c r="A123" s="372"/>
      <c r="B123" s="255">
        <v>4</v>
      </c>
      <c r="C123" s="253" t="s">
        <v>944</v>
      </c>
      <c r="D123" s="255" t="s">
        <v>945</v>
      </c>
      <c r="E123" s="255" t="s">
        <v>946</v>
      </c>
      <c r="F123" s="255" t="s">
        <v>947</v>
      </c>
      <c r="G123" s="255">
        <v>46.7</v>
      </c>
      <c r="H123" s="255" t="s">
        <v>948</v>
      </c>
      <c r="I123" s="255">
        <v>12.7</v>
      </c>
      <c r="J123" s="255">
        <v>-5.8</v>
      </c>
      <c r="K123" s="255">
        <v>1.1</v>
      </c>
      <c r="L123" s="255">
        <v>-8.1</v>
      </c>
      <c r="M123" s="255">
        <v>59</v>
      </c>
      <c r="N123" s="255">
        <v>31.1</v>
      </c>
      <c r="O123" s="255">
        <v>25.4</v>
      </c>
      <c r="P123" s="255">
        <v>26.9</v>
      </c>
      <c r="Q123" s="255">
        <v>75</v>
      </c>
      <c r="R123" s="255">
        <v>28</v>
      </c>
      <c r="S123" s="255">
        <v>3.1</v>
      </c>
      <c r="T123" s="255" t="s">
        <v>52</v>
      </c>
      <c r="U123" s="255" t="s">
        <v>949</v>
      </c>
      <c r="V123" s="255">
        <v>3.5</v>
      </c>
      <c r="W123" s="255">
        <v>4.4</v>
      </c>
      <c r="X123" s="255" t="s">
        <v>123</v>
      </c>
      <c r="Y123" s="255">
        <v>20</v>
      </c>
      <c r="Z123" s="255">
        <v>5.9</v>
      </c>
      <c r="AA123" s="255" t="s">
        <v>52</v>
      </c>
      <c r="AB123" s="255" t="s">
        <v>950</v>
      </c>
      <c r="AC123" s="255">
        <v>49</v>
      </c>
      <c r="AD123" s="255">
        <v>46</v>
      </c>
      <c r="AE123" s="255">
        <v>1021.1</v>
      </c>
      <c r="AF123" s="255">
        <v>1001.2</v>
      </c>
      <c r="AG123" s="255">
        <v>112</v>
      </c>
      <c r="AH123" s="255" t="s">
        <v>951</v>
      </c>
      <c r="AI123" s="255">
        <v>0.7</v>
      </c>
      <c r="AJ123" s="255">
        <v>140</v>
      </c>
      <c r="AK123" s="255" t="s">
        <v>952</v>
      </c>
      <c r="AL123" s="255">
        <v>1.9</v>
      </c>
      <c r="AM123" s="255">
        <v>38</v>
      </c>
      <c r="AN123" s="437">
        <v>-12.8</v>
      </c>
    </row>
    <row r="124" ht="20.2" customHeight="1" spans="1:40">
      <c r="A124" s="372"/>
      <c r="B124" s="436">
        <v>5</v>
      </c>
      <c r="C124" s="357" t="s">
        <v>953</v>
      </c>
      <c r="D124" s="358" t="s">
        <v>954</v>
      </c>
      <c r="E124" s="257" t="s">
        <v>955</v>
      </c>
      <c r="F124" s="257" t="s">
        <v>956</v>
      </c>
      <c r="G124" s="257">
        <v>22.2</v>
      </c>
      <c r="H124" s="257" t="s">
        <v>47</v>
      </c>
      <c r="I124" s="257">
        <v>12.5</v>
      </c>
      <c r="J124" s="257">
        <v>-7</v>
      </c>
      <c r="K124" s="257">
        <v>-2.9</v>
      </c>
      <c r="L124" s="257">
        <v>-9.3</v>
      </c>
      <c r="M124" s="257">
        <v>63</v>
      </c>
      <c r="N124" s="257">
        <v>34.2</v>
      </c>
      <c r="O124" s="257">
        <v>26.9</v>
      </c>
      <c r="P124" s="257">
        <v>30.2</v>
      </c>
      <c r="Q124" s="257">
        <v>63</v>
      </c>
      <c r="R124" s="257">
        <v>29</v>
      </c>
      <c r="S124" s="257">
        <v>3.4</v>
      </c>
      <c r="T124" s="257" t="s">
        <v>687</v>
      </c>
      <c r="U124" s="257">
        <v>19</v>
      </c>
      <c r="V124" s="257">
        <v>4.1</v>
      </c>
      <c r="W124" s="257">
        <v>3.5</v>
      </c>
      <c r="X124" s="257" t="s">
        <v>296</v>
      </c>
      <c r="Y124" s="257">
        <v>13</v>
      </c>
      <c r="Z124" s="257">
        <v>3.2</v>
      </c>
      <c r="AA124" s="257" t="s">
        <v>296</v>
      </c>
      <c r="AB124" s="257">
        <v>14</v>
      </c>
      <c r="AC124" s="257">
        <v>58</v>
      </c>
      <c r="AD124" s="257">
        <v>50</v>
      </c>
      <c r="AE124" s="257">
        <v>1022.1</v>
      </c>
      <c r="AF124" s="257">
        <v>1000.9</v>
      </c>
      <c r="AG124" s="257">
        <v>118</v>
      </c>
      <c r="AH124" s="257" t="s">
        <v>957</v>
      </c>
      <c r="AI124" s="257">
        <v>-0.3</v>
      </c>
      <c r="AJ124" s="257">
        <v>141</v>
      </c>
      <c r="AK124" s="257" t="s">
        <v>958</v>
      </c>
      <c r="AL124" s="257">
        <v>0.8</v>
      </c>
      <c r="AM124" s="257">
        <v>40.7</v>
      </c>
      <c r="AN124" s="270">
        <v>-17.9</v>
      </c>
    </row>
    <row r="125" s="289" customFormat="1" ht="20.2" customHeight="1" spans="1:40">
      <c r="A125" s="372"/>
      <c r="B125" s="438">
        <v>6</v>
      </c>
      <c r="C125" s="439" t="s">
        <v>959</v>
      </c>
      <c r="D125" s="361" t="s">
        <v>960</v>
      </c>
      <c r="E125" s="361" t="s">
        <v>961</v>
      </c>
      <c r="F125" s="361" t="s">
        <v>962</v>
      </c>
      <c r="G125" s="361">
        <v>87.9</v>
      </c>
      <c r="H125" s="361" t="s">
        <v>47</v>
      </c>
      <c r="I125" s="361">
        <v>13.5</v>
      </c>
      <c r="J125" s="361">
        <v>-4.7</v>
      </c>
      <c r="K125" s="361">
        <v>-0.7</v>
      </c>
      <c r="L125" s="361">
        <v>-6.8</v>
      </c>
      <c r="M125" s="361">
        <v>62</v>
      </c>
      <c r="N125" s="361">
        <v>33.3</v>
      </c>
      <c r="O125" s="361">
        <v>27.2</v>
      </c>
      <c r="P125" s="361">
        <v>29.7</v>
      </c>
      <c r="Q125" s="361">
        <v>68</v>
      </c>
      <c r="R125" s="361">
        <v>29.2</v>
      </c>
      <c r="S125" s="361">
        <v>2.7</v>
      </c>
      <c r="T125" s="361" t="s">
        <v>387</v>
      </c>
      <c r="U125" s="361">
        <v>12</v>
      </c>
      <c r="V125" s="361">
        <v>2.7</v>
      </c>
      <c r="W125" s="361">
        <v>2.8</v>
      </c>
      <c r="X125" s="361" t="s">
        <v>262</v>
      </c>
      <c r="Y125" s="361">
        <v>14</v>
      </c>
      <c r="Z125" s="361">
        <v>4</v>
      </c>
      <c r="AA125" s="361" t="s">
        <v>262</v>
      </c>
      <c r="AB125" s="361">
        <v>12</v>
      </c>
      <c r="AC125" s="361">
        <v>55</v>
      </c>
      <c r="AD125" s="361">
        <v>40</v>
      </c>
      <c r="AE125" s="361">
        <v>1017</v>
      </c>
      <c r="AF125" s="361">
        <v>996.4</v>
      </c>
      <c r="AG125" s="361">
        <v>103</v>
      </c>
      <c r="AH125" s="361" t="s">
        <v>741</v>
      </c>
      <c r="AI125" s="361">
        <v>1</v>
      </c>
      <c r="AJ125" s="361">
        <v>135</v>
      </c>
      <c r="AK125" s="361" t="s">
        <v>963</v>
      </c>
      <c r="AL125" s="361">
        <v>2.3</v>
      </c>
      <c r="AM125" s="361">
        <v>38.4</v>
      </c>
      <c r="AN125" s="362">
        <v>-14.3</v>
      </c>
    </row>
    <row r="126" ht="20.2" customHeight="1" spans="1:40">
      <c r="A126" s="372"/>
      <c r="B126" s="436">
        <v>7</v>
      </c>
      <c r="C126" s="357" t="s">
        <v>964</v>
      </c>
      <c r="D126" s="358" t="s">
        <v>965</v>
      </c>
      <c r="E126" s="257" t="s">
        <v>966</v>
      </c>
      <c r="F126" s="257" t="s">
        <v>967</v>
      </c>
      <c r="G126" s="257">
        <v>21.2</v>
      </c>
      <c r="H126" s="257" t="s">
        <v>968</v>
      </c>
      <c r="I126" s="257">
        <v>13.2</v>
      </c>
      <c r="J126" s="257">
        <v>-6.5</v>
      </c>
      <c r="K126" s="257">
        <v>-2.4</v>
      </c>
      <c r="L126" s="257">
        <v>-9.1</v>
      </c>
      <c r="M126" s="257">
        <v>60</v>
      </c>
      <c r="N126" s="257">
        <v>34.2</v>
      </c>
      <c r="O126" s="257">
        <v>26.9</v>
      </c>
      <c r="P126" s="257">
        <v>30.6</v>
      </c>
      <c r="Q126" s="257">
        <v>63</v>
      </c>
      <c r="R126" s="257">
        <v>29.7</v>
      </c>
      <c r="S126" s="257">
        <v>2.2</v>
      </c>
      <c r="T126" s="257" t="s">
        <v>104</v>
      </c>
      <c r="U126" s="257" t="s">
        <v>969</v>
      </c>
      <c r="V126" s="257">
        <v>2.4</v>
      </c>
      <c r="W126" s="257">
        <v>2.1</v>
      </c>
      <c r="X126" s="257" t="s">
        <v>395</v>
      </c>
      <c r="Y126" s="257" t="s">
        <v>323</v>
      </c>
      <c r="Z126" s="257">
        <v>2.9</v>
      </c>
      <c r="AA126" s="257" t="s">
        <v>104</v>
      </c>
      <c r="AB126" s="257" t="s">
        <v>969</v>
      </c>
      <c r="AC126" s="257">
        <v>49</v>
      </c>
      <c r="AD126" s="257">
        <v>46</v>
      </c>
      <c r="AE126" s="257">
        <v>1025.5</v>
      </c>
      <c r="AF126" s="257">
        <v>1002.8</v>
      </c>
      <c r="AG126" s="257">
        <v>114</v>
      </c>
      <c r="AH126" s="257" t="s">
        <v>970</v>
      </c>
      <c r="AI126" s="257">
        <v>0</v>
      </c>
      <c r="AJ126" s="257">
        <v>141</v>
      </c>
      <c r="AK126" s="257" t="s">
        <v>155</v>
      </c>
      <c r="AL126" s="257">
        <v>1.3</v>
      </c>
      <c r="AM126" s="257">
        <v>39.4</v>
      </c>
      <c r="AN126" s="270">
        <v>-20.1</v>
      </c>
    </row>
    <row r="127" ht="20.2" customHeight="1" spans="1:40">
      <c r="A127" s="372"/>
      <c r="B127" s="436">
        <v>8</v>
      </c>
      <c r="C127" s="357" t="s">
        <v>971</v>
      </c>
      <c r="D127" s="358" t="s">
        <v>972</v>
      </c>
      <c r="E127" s="257" t="s">
        <v>973</v>
      </c>
      <c r="F127" s="257" t="s">
        <v>974</v>
      </c>
      <c r="G127" s="257">
        <v>49.7</v>
      </c>
      <c r="H127" s="257" t="s">
        <v>941</v>
      </c>
      <c r="I127" s="257">
        <v>13.8</v>
      </c>
      <c r="J127" s="257">
        <v>-4.9</v>
      </c>
      <c r="K127" s="257">
        <v>-0.9</v>
      </c>
      <c r="L127" s="257">
        <v>-7.2</v>
      </c>
      <c r="M127" s="257">
        <v>68</v>
      </c>
      <c r="N127" s="257">
        <v>34.4</v>
      </c>
      <c r="O127" s="257">
        <v>27.4</v>
      </c>
      <c r="P127" s="257">
        <v>30.6</v>
      </c>
      <c r="Q127" s="257">
        <v>66</v>
      </c>
      <c r="R127" s="257">
        <v>29.9</v>
      </c>
      <c r="S127" s="257">
        <v>1.8</v>
      </c>
      <c r="T127" s="257" t="s">
        <v>104</v>
      </c>
      <c r="U127" s="257" t="s">
        <v>975</v>
      </c>
      <c r="V127" s="257">
        <v>1.7</v>
      </c>
      <c r="W127" s="257">
        <v>2.2</v>
      </c>
      <c r="X127" s="257" t="s">
        <v>188</v>
      </c>
      <c r="Y127" s="257" t="s">
        <v>976</v>
      </c>
      <c r="Z127" s="257">
        <v>3.3</v>
      </c>
      <c r="AA127" s="257" t="s">
        <v>82</v>
      </c>
      <c r="AB127" s="257" t="s">
        <v>325</v>
      </c>
      <c r="AC127" s="257">
        <v>46</v>
      </c>
      <c r="AD127" s="257">
        <v>21</v>
      </c>
      <c r="AE127" s="257">
        <v>1021.5</v>
      </c>
      <c r="AF127" s="257">
        <v>999.4</v>
      </c>
      <c r="AG127" s="257">
        <v>105</v>
      </c>
      <c r="AH127" s="257" t="s">
        <v>977</v>
      </c>
      <c r="AI127" s="257">
        <v>0.9</v>
      </c>
      <c r="AJ127" s="257">
        <v>130</v>
      </c>
      <c r="AK127" s="257" t="s">
        <v>978</v>
      </c>
      <c r="AL127" s="257">
        <v>2.2</v>
      </c>
      <c r="AM127" s="257">
        <v>40.5</v>
      </c>
      <c r="AN127" s="270">
        <v>-16.5</v>
      </c>
    </row>
    <row r="128" ht="20.2" customHeight="1" spans="1:40">
      <c r="A128" s="372"/>
      <c r="B128" s="436">
        <v>9</v>
      </c>
      <c r="C128" s="357" t="s">
        <v>979</v>
      </c>
      <c r="D128" s="358" t="s">
        <v>980</v>
      </c>
      <c r="E128" s="257" t="s">
        <v>981</v>
      </c>
      <c r="F128" s="257" t="s">
        <v>982</v>
      </c>
      <c r="G128" s="257">
        <v>16.1</v>
      </c>
      <c r="H128" s="257" t="s">
        <v>941</v>
      </c>
      <c r="I128" s="257">
        <v>13</v>
      </c>
      <c r="J128" s="257">
        <v>-4.4</v>
      </c>
      <c r="K128" s="257">
        <v>-0.3</v>
      </c>
      <c r="L128" s="257">
        <v>-6.5</v>
      </c>
      <c r="M128" s="257">
        <v>61</v>
      </c>
      <c r="N128" s="257">
        <v>30</v>
      </c>
      <c r="O128" s="257">
        <v>26.8</v>
      </c>
      <c r="P128" s="257">
        <v>27.7</v>
      </c>
      <c r="Q128" s="257">
        <v>75</v>
      </c>
      <c r="R128" s="257">
        <v>28.1</v>
      </c>
      <c r="S128" s="257">
        <v>3.1</v>
      </c>
      <c r="T128" s="257" t="s">
        <v>687</v>
      </c>
      <c r="U128" s="257">
        <v>9</v>
      </c>
      <c r="V128" s="257">
        <v>3.6</v>
      </c>
      <c r="W128" s="257">
        <v>3.4</v>
      </c>
      <c r="X128" s="257" t="s">
        <v>123</v>
      </c>
      <c r="Y128" s="257">
        <v>14</v>
      </c>
      <c r="Z128" s="257">
        <v>4</v>
      </c>
      <c r="AA128" s="257" t="s">
        <v>369</v>
      </c>
      <c r="AB128" s="257">
        <v>9</v>
      </c>
      <c r="AC128" s="257">
        <v>59</v>
      </c>
      <c r="AD128" s="257">
        <v>25</v>
      </c>
      <c r="AE128" s="257">
        <v>1024.8</v>
      </c>
      <c r="AF128" s="257">
        <v>1006.6</v>
      </c>
      <c r="AG128" s="257">
        <v>108</v>
      </c>
      <c r="AH128" s="257" t="s">
        <v>983</v>
      </c>
      <c r="AI128" s="257">
        <v>1.4</v>
      </c>
      <c r="AJ128" s="257">
        <v>136</v>
      </c>
      <c r="AK128" s="257" t="s">
        <v>984</v>
      </c>
      <c r="AL128" s="257">
        <v>2.4</v>
      </c>
      <c r="AM128" s="257">
        <v>38.3</v>
      </c>
      <c r="AN128" s="270">
        <v>-13.8</v>
      </c>
    </row>
    <row r="129" ht="20.2" customHeight="1" spans="1:40">
      <c r="A129" s="372"/>
      <c r="B129" s="436">
        <v>10</v>
      </c>
      <c r="C129" s="357" t="s">
        <v>985</v>
      </c>
      <c r="D129" s="358" t="s">
        <v>986</v>
      </c>
      <c r="E129" s="257" t="s">
        <v>987</v>
      </c>
      <c r="F129" s="257" t="s">
        <v>988</v>
      </c>
      <c r="G129" s="257">
        <v>65.4</v>
      </c>
      <c r="H129" s="257" t="s">
        <v>47</v>
      </c>
      <c r="I129" s="257">
        <v>12.5</v>
      </c>
      <c r="J129" s="257">
        <v>-5.4</v>
      </c>
      <c r="K129" s="257">
        <v>-0.9</v>
      </c>
      <c r="L129" s="257">
        <v>-7.7</v>
      </c>
      <c r="M129" s="257">
        <v>61</v>
      </c>
      <c r="N129" s="257">
        <v>30.2</v>
      </c>
      <c r="O129" s="257">
        <v>25.7</v>
      </c>
      <c r="P129" s="257">
        <v>26.8</v>
      </c>
      <c r="Q129" s="257">
        <v>75</v>
      </c>
      <c r="R129" s="257">
        <v>27.5</v>
      </c>
      <c r="S129" s="257">
        <v>4.2</v>
      </c>
      <c r="T129" s="257" t="s">
        <v>296</v>
      </c>
      <c r="U129" s="257">
        <v>15</v>
      </c>
      <c r="V129" s="257">
        <v>5.4</v>
      </c>
      <c r="W129" s="257">
        <v>5.4</v>
      </c>
      <c r="X129" s="257" t="s">
        <v>123</v>
      </c>
      <c r="Y129" s="257">
        <v>21</v>
      </c>
      <c r="Z129" s="257">
        <v>7.3</v>
      </c>
      <c r="AA129" s="257" t="s">
        <v>123</v>
      </c>
      <c r="AB129" s="257">
        <v>11</v>
      </c>
      <c r="AC129" s="257">
        <v>54</v>
      </c>
      <c r="AD129" s="257">
        <v>47</v>
      </c>
      <c r="AE129" s="257">
        <v>1020.9</v>
      </c>
      <c r="AF129" s="257">
        <v>1001.8</v>
      </c>
      <c r="AG129" s="257">
        <v>116</v>
      </c>
      <c r="AH129" s="257" t="s">
        <v>989</v>
      </c>
      <c r="AI129" s="257">
        <v>1.2</v>
      </c>
      <c r="AJ129" s="257">
        <v>141</v>
      </c>
      <c r="AK129" s="257" t="s">
        <v>990</v>
      </c>
      <c r="AL129" s="257">
        <v>2.1</v>
      </c>
      <c r="AM129" s="257">
        <v>38.4</v>
      </c>
      <c r="AN129" s="270">
        <v>-13.2</v>
      </c>
    </row>
    <row r="130" ht="20.2" customHeight="1" spans="1:40">
      <c r="A130" s="372"/>
      <c r="B130" s="436">
        <v>11</v>
      </c>
      <c r="C130" s="357" t="s">
        <v>991</v>
      </c>
      <c r="D130" s="358" t="s">
        <v>992</v>
      </c>
      <c r="E130" s="257" t="s">
        <v>993</v>
      </c>
      <c r="F130" s="257" t="s">
        <v>994</v>
      </c>
      <c r="G130" s="257">
        <v>51.7</v>
      </c>
      <c r="H130" s="257" t="s">
        <v>47</v>
      </c>
      <c r="I130" s="257">
        <v>13.6</v>
      </c>
      <c r="J130" s="257">
        <v>-5.5</v>
      </c>
      <c r="K130" s="257">
        <v>-1.3</v>
      </c>
      <c r="L130" s="257">
        <v>-7.6</v>
      </c>
      <c r="M130" s="257">
        <v>66</v>
      </c>
      <c r="N130" s="257">
        <v>34.1</v>
      </c>
      <c r="O130" s="257">
        <v>27.1</v>
      </c>
      <c r="P130" s="257">
        <v>30.6</v>
      </c>
      <c r="Q130" s="257">
        <v>65</v>
      </c>
      <c r="R130" s="257">
        <v>29.7</v>
      </c>
      <c r="S130" s="257">
        <v>2.4</v>
      </c>
      <c r="T130" s="257" t="s">
        <v>296</v>
      </c>
      <c r="U130" s="257">
        <v>13</v>
      </c>
      <c r="V130" s="257">
        <v>3</v>
      </c>
      <c r="W130" s="257">
        <v>2.5</v>
      </c>
      <c r="X130" s="257" t="s">
        <v>694</v>
      </c>
      <c r="Y130" s="257" t="s">
        <v>793</v>
      </c>
      <c r="Z130" s="257">
        <v>2.8</v>
      </c>
      <c r="AA130" s="257" t="s">
        <v>687</v>
      </c>
      <c r="AB130" s="257">
        <v>11</v>
      </c>
      <c r="AC130" s="257">
        <v>54</v>
      </c>
      <c r="AD130" s="257">
        <v>48</v>
      </c>
      <c r="AE130" s="257">
        <v>1020.8</v>
      </c>
      <c r="AF130" s="257">
        <v>999.4</v>
      </c>
      <c r="AG130" s="257">
        <v>104</v>
      </c>
      <c r="AH130" s="257" t="s">
        <v>995</v>
      </c>
      <c r="AI130" s="257">
        <v>0.6</v>
      </c>
      <c r="AJ130" s="257">
        <v>137</v>
      </c>
      <c r="AK130" s="257" t="s">
        <v>996</v>
      </c>
      <c r="AL130" s="257">
        <v>2.1</v>
      </c>
      <c r="AM130" s="257">
        <v>39.9</v>
      </c>
      <c r="AN130" s="270">
        <v>-19.3</v>
      </c>
    </row>
    <row r="131" ht="20.2" customHeight="1" spans="1:40">
      <c r="A131" s="372"/>
      <c r="B131" s="436">
        <v>12</v>
      </c>
      <c r="C131" s="357" t="s">
        <v>997</v>
      </c>
      <c r="D131" s="358" t="s">
        <v>998</v>
      </c>
      <c r="E131" s="257" t="s">
        <v>999</v>
      </c>
      <c r="F131" s="257" t="s">
        <v>608</v>
      </c>
      <c r="G131" s="257">
        <v>128.8</v>
      </c>
      <c r="H131" s="257" t="s">
        <v>948</v>
      </c>
      <c r="I131" s="257">
        <v>12.8</v>
      </c>
      <c r="J131" s="257">
        <v>-6.7</v>
      </c>
      <c r="K131" s="257">
        <v>-2.1</v>
      </c>
      <c r="L131" s="257">
        <v>-9.4</v>
      </c>
      <c r="M131" s="257">
        <v>60</v>
      </c>
      <c r="N131" s="257">
        <v>33.1</v>
      </c>
      <c r="O131" s="257">
        <v>26.5</v>
      </c>
      <c r="P131" s="257">
        <v>29.7</v>
      </c>
      <c r="Q131" s="257">
        <v>66</v>
      </c>
      <c r="R131" s="257">
        <v>28.6</v>
      </c>
      <c r="S131" s="257">
        <v>2</v>
      </c>
      <c r="T131" s="257" t="s">
        <v>1000</v>
      </c>
      <c r="U131" s="257" t="s">
        <v>83</v>
      </c>
      <c r="V131" s="257">
        <v>1.9</v>
      </c>
      <c r="W131" s="257">
        <v>2.7</v>
      </c>
      <c r="X131" s="257" t="s">
        <v>731</v>
      </c>
      <c r="Y131" s="257" t="s">
        <v>1001</v>
      </c>
      <c r="Z131" s="257">
        <v>3.8</v>
      </c>
      <c r="AA131" s="257" t="s">
        <v>497</v>
      </c>
      <c r="AB131" s="257" t="s">
        <v>1002</v>
      </c>
      <c r="AC131" s="257">
        <v>52</v>
      </c>
      <c r="AD131" s="257">
        <v>31</v>
      </c>
      <c r="AE131" s="257">
        <v>1011.2</v>
      </c>
      <c r="AF131" s="257">
        <v>990.5</v>
      </c>
      <c r="AG131" s="257">
        <v>113</v>
      </c>
      <c r="AH131" s="257" t="s">
        <v>1003</v>
      </c>
      <c r="AI131" s="257">
        <v>0</v>
      </c>
      <c r="AJ131" s="257">
        <v>140</v>
      </c>
      <c r="AK131" s="257" t="s">
        <v>943</v>
      </c>
      <c r="AL131" s="257">
        <v>1.3</v>
      </c>
      <c r="AM131" s="257">
        <v>38.1</v>
      </c>
      <c r="AN131" s="270">
        <v>-20.7</v>
      </c>
    </row>
    <row r="132" s="298" customFormat="1" ht="20.2" customHeight="1" spans="1:40">
      <c r="A132" s="372"/>
      <c r="B132" s="390">
        <v>13</v>
      </c>
      <c r="C132" s="440" t="s">
        <v>1004</v>
      </c>
      <c r="D132" s="390" t="s">
        <v>1005</v>
      </c>
      <c r="E132" s="390" t="s">
        <v>259</v>
      </c>
      <c r="F132" s="390" t="s">
        <v>1006</v>
      </c>
      <c r="G132" s="390">
        <v>11.7</v>
      </c>
      <c r="H132" s="390" t="s">
        <v>47</v>
      </c>
      <c r="I132" s="390">
        <v>12.6</v>
      </c>
      <c r="J132" s="390">
        <v>-7.6</v>
      </c>
      <c r="K132" s="390">
        <v>-3.3</v>
      </c>
      <c r="L132" s="390">
        <v>-10.2</v>
      </c>
      <c r="M132" s="390">
        <v>62</v>
      </c>
      <c r="N132" s="390">
        <v>34</v>
      </c>
      <c r="O132" s="390">
        <v>27.2</v>
      </c>
      <c r="P132" s="390">
        <v>30.4</v>
      </c>
      <c r="Q132" s="390">
        <v>64</v>
      </c>
      <c r="R132" s="390">
        <v>29.4</v>
      </c>
      <c r="S132" s="390">
        <v>2.7</v>
      </c>
      <c r="T132" s="390" t="s">
        <v>387</v>
      </c>
      <c r="U132" s="390">
        <v>10</v>
      </c>
      <c r="V132" s="390">
        <v>2.8</v>
      </c>
      <c r="W132" s="390">
        <v>3</v>
      </c>
      <c r="X132" s="390" t="s">
        <v>309</v>
      </c>
      <c r="Y132" s="390">
        <v>10</v>
      </c>
      <c r="Z132" s="390">
        <v>3.4</v>
      </c>
      <c r="AA132" s="390" t="s">
        <v>309</v>
      </c>
      <c r="AB132" s="390">
        <v>11</v>
      </c>
      <c r="AC132" s="390">
        <v>58</v>
      </c>
      <c r="AD132" s="390">
        <v>50</v>
      </c>
      <c r="AE132" s="390">
        <v>1026</v>
      </c>
      <c r="AF132" s="390">
        <v>1003.9</v>
      </c>
      <c r="AG132" s="390">
        <v>120</v>
      </c>
      <c r="AH132" s="390" t="s">
        <v>222</v>
      </c>
      <c r="AI132" s="390">
        <v>-0.5</v>
      </c>
      <c r="AJ132" s="390">
        <v>142</v>
      </c>
      <c r="AK132" s="390" t="s">
        <v>65</v>
      </c>
      <c r="AL132" s="390">
        <v>0.6</v>
      </c>
      <c r="AM132" s="390">
        <v>39.8</v>
      </c>
      <c r="AN132" s="391">
        <v>-21.4</v>
      </c>
    </row>
    <row r="133" s="290" customFormat="1" ht="20.2" customHeight="1" spans="1:40">
      <c r="A133" s="372"/>
      <c r="B133" s="365">
        <v>14</v>
      </c>
      <c r="C133" s="441" t="s">
        <v>1007</v>
      </c>
      <c r="D133" s="365" t="s">
        <v>1008</v>
      </c>
      <c r="E133" s="365" t="s">
        <v>966</v>
      </c>
      <c r="F133" s="365" t="s">
        <v>1009</v>
      </c>
      <c r="G133" s="366">
        <v>6</v>
      </c>
      <c r="H133" s="366" t="s">
        <v>47</v>
      </c>
      <c r="I133" s="365">
        <v>13.1</v>
      </c>
      <c r="J133" s="365">
        <v>-6.6</v>
      </c>
      <c r="K133" s="365">
        <v>-2.6</v>
      </c>
      <c r="L133" s="365">
        <v>-9.2</v>
      </c>
      <c r="M133" s="365">
        <v>62</v>
      </c>
      <c r="N133" s="365">
        <v>34.2</v>
      </c>
      <c r="O133" s="365">
        <v>26.8</v>
      </c>
      <c r="P133" s="365">
        <v>30.2</v>
      </c>
      <c r="Q133" s="365">
        <v>64</v>
      </c>
      <c r="R133" s="365">
        <v>29.8</v>
      </c>
      <c r="S133" s="365">
        <v>3.6</v>
      </c>
      <c r="T133" s="365" t="s">
        <v>687</v>
      </c>
      <c r="U133" s="365">
        <v>18</v>
      </c>
      <c r="V133" s="365">
        <v>4.4</v>
      </c>
      <c r="W133" s="365">
        <v>3.4</v>
      </c>
      <c r="X133" s="365" t="s">
        <v>297</v>
      </c>
      <c r="Y133" s="365">
        <v>10</v>
      </c>
      <c r="Z133" s="365">
        <v>3.7</v>
      </c>
      <c r="AA133" s="365" t="s">
        <v>687</v>
      </c>
      <c r="AB133" s="365">
        <v>13</v>
      </c>
      <c r="AC133" s="365">
        <v>61</v>
      </c>
      <c r="AD133" s="365">
        <v>47</v>
      </c>
      <c r="AE133" s="365">
        <v>1026.6</v>
      </c>
      <c r="AF133" s="365">
        <v>1004.9</v>
      </c>
      <c r="AG133" s="365">
        <v>115</v>
      </c>
      <c r="AH133" s="365" t="s">
        <v>1010</v>
      </c>
      <c r="AI133" s="365">
        <v>0</v>
      </c>
      <c r="AJ133" s="365">
        <v>140</v>
      </c>
      <c r="AK133" s="365" t="s">
        <v>1011</v>
      </c>
      <c r="AL133" s="365">
        <v>1.1</v>
      </c>
      <c r="AM133" s="365">
        <v>40.7</v>
      </c>
      <c r="AN133" s="367">
        <v>-20.2</v>
      </c>
    </row>
    <row r="134" s="299" customFormat="1" ht="20.2" customHeight="1" spans="1:40">
      <c r="A134" s="360" t="s">
        <v>1012</v>
      </c>
      <c r="B134" s="393">
        <v>1</v>
      </c>
      <c r="C134" s="394" t="s">
        <v>1013</v>
      </c>
      <c r="D134" s="393" t="s">
        <v>1014</v>
      </c>
      <c r="E134" s="393" t="s">
        <v>1015</v>
      </c>
      <c r="F134" s="393" t="s">
        <v>1016</v>
      </c>
      <c r="G134" s="393">
        <v>110.4</v>
      </c>
      <c r="H134" s="393" t="s">
        <v>47</v>
      </c>
      <c r="I134" s="393">
        <v>14.3</v>
      </c>
      <c r="J134" s="393">
        <v>-3.8</v>
      </c>
      <c r="K134" s="393">
        <v>0.1</v>
      </c>
      <c r="L134" s="393">
        <v>-6</v>
      </c>
      <c r="M134" s="393">
        <v>61</v>
      </c>
      <c r="N134" s="393">
        <v>34.9</v>
      </c>
      <c r="O134" s="393">
        <v>27.4</v>
      </c>
      <c r="P134" s="393">
        <v>30.9</v>
      </c>
      <c r="Q134" s="393">
        <v>64</v>
      </c>
      <c r="R134" s="393">
        <v>30.2</v>
      </c>
      <c r="S134" s="393">
        <v>2.2</v>
      </c>
      <c r="T134" s="393" t="s">
        <v>82</v>
      </c>
      <c r="U134" s="393" t="s">
        <v>870</v>
      </c>
      <c r="V134" s="393">
        <v>2.8</v>
      </c>
      <c r="W134" s="393">
        <v>2.7</v>
      </c>
      <c r="X134" s="393" t="s">
        <v>134</v>
      </c>
      <c r="Y134" s="393" t="s">
        <v>248</v>
      </c>
      <c r="Z134" s="393">
        <v>4.9</v>
      </c>
      <c r="AA134" s="393" t="s">
        <v>395</v>
      </c>
      <c r="AB134" s="393" t="s">
        <v>1017</v>
      </c>
      <c r="AC134" s="393">
        <v>47</v>
      </c>
      <c r="AD134" s="393">
        <v>27</v>
      </c>
      <c r="AE134" s="393">
        <v>1013.3</v>
      </c>
      <c r="AF134" s="393">
        <v>992.3</v>
      </c>
      <c r="AG134" s="393">
        <v>97</v>
      </c>
      <c r="AH134" s="393" t="s">
        <v>1018</v>
      </c>
      <c r="AI134" s="393">
        <v>1.7</v>
      </c>
      <c r="AJ134" s="393">
        <v>125</v>
      </c>
      <c r="AK134" s="393" t="s">
        <v>1019</v>
      </c>
      <c r="AL134" s="393">
        <v>3</v>
      </c>
      <c r="AM134" s="393">
        <v>42.3</v>
      </c>
      <c r="AN134" s="395">
        <v>-17.9</v>
      </c>
    </row>
    <row r="135" ht="20.2" customHeight="1" spans="1:40">
      <c r="A135" s="239"/>
      <c r="B135" s="255">
        <v>2</v>
      </c>
      <c r="C135" s="253" t="s">
        <v>1020</v>
      </c>
      <c r="D135" s="255" t="s">
        <v>1021</v>
      </c>
      <c r="E135" s="257" t="s">
        <v>1022</v>
      </c>
      <c r="F135" s="257" t="s">
        <v>909</v>
      </c>
      <c r="G135" s="257">
        <v>72.5</v>
      </c>
      <c r="H135" s="257" t="s">
        <v>47</v>
      </c>
      <c r="I135" s="261">
        <v>14.2</v>
      </c>
      <c r="J135" s="257">
        <v>-3.9</v>
      </c>
      <c r="K135" s="257">
        <v>0</v>
      </c>
      <c r="L135" s="257">
        <v>-6</v>
      </c>
      <c r="M135" s="257">
        <v>63</v>
      </c>
      <c r="N135" s="257">
        <v>34.4</v>
      </c>
      <c r="O135" s="257">
        <v>27.6</v>
      </c>
      <c r="P135" s="257">
        <v>30.7</v>
      </c>
      <c r="Q135" s="257">
        <v>66</v>
      </c>
      <c r="R135" s="257">
        <v>30</v>
      </c>
      <c r="S135" s="257">
        <v>2.6</v>
      </c>
      <c r="T135" s="257" t="s">
        <v>104</v>
      </c>
      <c r="U135" s="257" t="s">
        <v>1023</v>
      </c>
      <c r="V135" s="257">
        <v>3.2</v>
      </c>
      <c r="W135" s="257">
        <v>2.9</v>
      </c>
      <c r="X135" s="257" t="s">
        <v>262</v>
      </c>
      <c r="Y135" s="257">
        <v>16</v>
      </c>
      <c r="Z135" s="257">
        <v>3.9</v>
      </c>
      <c r="AA135" s="257" t="s">
        <v>855</v>
      </c>
      <c r="AB135" s="257" t="s">
        <v>1024</v>
      </c>
      <c r="AC135" s="257">
        <v>46</v>
      </c>
      <c r="AD135" s="257">
        <v>26</v>
      </c>
      <c r="AE135" s="257">
        <v>1018.2</v>
      </c>
      <c r="AF135" s="257">
        <v>996.8</v>
      </c>
      <c r="AG135" s="257">
        <v>99</v>
      </c>
      <c r="AH135" s="257" t="s">
        <v>1025</v>
      </c>
      <c r="AI135" s="257">
        <v>1.7</v>
      </c>
      <c r="AJ135" s="257">
        <v>125</v>
      </c>
      <c r="AK135" s="257" t="s">
        <v>1019</v>
      </c>
      <c r="AL135" s="257">
        <v>2.8</v>
      </c>
      <c r="AM135" s="257">
        <v>42.5</v>
      </c>
      <c r="AN135" s="270">
        <v>-16</v>
      </c>
    </row>
    <row r="136" ht="20.2" customHeight="1" spans="1:40">
      <c r="A136" s="239"/>
      <c r="B136" s="255">
        <v>3</v>
      </c>
      <c r="C136" s="253" t="s">
        <v>1026</v>
      </c>
      <c r="D136" s="255" t="s">
        <v>1027</v>
      </c>
      <c r="E136" s="257" t="s">
        <v>1028</v>
      </c>
      <c r="F136" s="257" t="s">
        <v>1029</v>
      </c>
      <c r="G136" s="257">
        <v>137.1</v>
      </c>
      <c r="H136" s="257" t="s">
        <v>47</v>
      </c>
      <c r="I136" s="257">
        <v>14.7</v>
      </c>
      <c r="J136" s="257">
        <v>-3</v>
      </c>
      <c r="K136" s="257">
        <v>0.8</v>
      </c>
      <c r="L136" s="257">
        <v>-5.1</v>
      </c>
      <c r="M136" s="257">
        <v>59</v>
      </c>
      <c r="N136" s="257">
        <v>35.4</v>
      </c>
      <c r="O136" s="257">
        <v>26.9</v>
      </c>
      <c r="P136" s="257">
        <v>31.3</v>
      </c>
      <c r="Q136" s="257">
        <v>63</v>
      </c>
      <c r="R136" s="257">
        <v>30.5</v>
      </c>
      <c r="S136" s="257">
        <v>1.6</v>
      </c>
      <c r="T136" s="257" t="s">
        <v>497</v>
      </c>
      <c r="U136" s="257" t="s">
        <v>1030</v>
      </c>
      <c r="V136" s="257">
        <v>3.1</v>
      </c>
      <c r="W136" s="257">
        <v>2.1</v>
      </c>
      <c r="X136" s="257" t="s">
        <v>144</v>
      </c>
      <c r="Y136" s="257" t="s">
        <v>1031</v>
      </c>
      <c r="Z136" s="257">
        <v>2.4</v>
      </c>
      <c r="AA136" s="257" t="s">
        <v>144</v>
      </c>
      <c r="AB136" s="257" t="s">
        <v>1032</v>
      </c>
      <c r="AC136" s="257">
        <v>49</v>
      </c>
      <c r="AD136" s="257">
        <v>20</v>
      </c>
      <c r="AE136" s="257">
        <v>1009</v>
      </c>
      <c r="AF136" s="257">
        <v>988.2</v>
      </c>
      <c r="AG136" s="257">
        <v>92</v>
      </c>
      <c r="AH136" s="257" t="s">
        <v>1033</v>
      </c>
      <c r="AI136" s="257">
        <v>2.1</v>
      </c>
      <c r="AJ136" s="257">
        <v>118</v>
      </c>
      <c r="AK136" s="257" t="s">
        <v>1034</v>
      </c>
      <c r="AL136" s="257">
        <v>3</v>
      </c>
      <c r="AM136" s="257">
        <v>41.7</v>
      </c>
      <c r="AN136" s="270">
        <v>-15</v>
      </c>
    </row>
    <row r="137" ht="20.2" customHeight="1" spans="1:40">
      <c r="A137" s="239"/>
      <c r="B137" s="255">
        <v>4</v>
      </c>
      <c r="C137" s="253" t="s">
        <v>1035</v>
      </c>
      <c r="D137" s="255" t="s">
        <v>1036</v>
      </c>
      <c r="E137" s="257" t="s">
        <v>1037</v>
      </c>
      <c r="F137" s="257" t="s">
        <v>1038</v>
      </c>
      <c r="G137" s="257">
        <v>72.7</v>
      </c>
      <c r="H137" s="257" t="s">
        <v>47</v>
      </c>
      <c r="I137" s="261">
        <v>14.2</v>
      </c>
      <c r="J137" s="257">
        <v>-3.9</v>
      </c>
      <c r="K137" s="257">
        <v>-0.2</v>
      </c>
      <c r="L137" s="257">
        <v>-5.8</v>
      </c>
      <c r="M137" s="257">
        <v>61</v>
      </c>
      <c r="N137" s="257">
        <v>34.4</v>
      </c>
      <c r="O137" s="257">
        <v>27.6</v>
      </c>
      <c r="P137" s="257">
        <v>30.5</v>
      </c>
      <c r="Q137" s="257">
        <v>65</v>
      </c>
      <c r="R137" s="257">
        <v>29.8</v>
      </c>
      <c r="S137" s="257">
        <v>1.9</v>
      </c>
      <c r="T137" s="257" t="s">
        <v>497</v>
      </c>
      <c r="U137" s="257" t="s">
        <v>1002</v>
      </c>
      <c r="V137" s="257">
        <v>2.8</v>
      </c>
      <c r="W137" s="257">
        <v>2.1</v>
      </c>
      <c r="X137" s="257" t="s">
        <v>731</v>
      </c>
      <c r="Y137" s="257" t="s">
        <v>1039</v>
      </c>
      <c r="Z137" s="257">
        <v>3.6</v>
      </c>
      <c r="AA137" s="257" t="s">
        <v>497</v>
      </c>
      <c r="AB137" s="257" t="s">
        <v>1040</v>
      </c>
      <c r="AC137" s="257">
        <v>49</v>
      </c>
      <c r="AD137" s="257">
        <v>21</v>
      </c>
      <c r="AE137" s="257">
        <v>1017.9</v>
      </c>
      <c r="AF137" s="257">
        <v>996.6</v>
      </c>
      <c r="AG137" s="257">
        <v>99</v>
      </c>
      <c r="AH137" s="257" t="s">
        <v>1041</v>
      </c>
      <c r="AI137" s="257">
        <v>1.5</v>
      </c>
      <c r="AJ137" s="257">
        <v>124</v>
      </c>
      <c r="AK137" s="257" t="s">
        <v>1042</v>
      </c>
      <c r="AL137" s="257">
        <v>2.6</v>
      </c>
      <c r="AM137" s="257">
        <v>42</v>
      </c>
      <c r="AN137" s="270">
        <v>-19.2</v>
      </c>
    </row>
    <row r="138" ht="20.2" customHeight="1" spans="1:40">
      <c r="A138" s="239"/>
      <c r="B138" s="255">
        <v>5</v>
      </c>
      <c r="C138" s="253" t="s">
        <v>1043</v>
      </c>
      <c r="D138" s="255" t="s">
        <v>1044</v>
      </c>
      <c r="E138" s="257" t="s">
        <v>1045</v>
      </c>
      <c r="F138" s="257" t="s">
        <v>1046</v>
      </c>
      <c r="G138" s="257">
        <v>75.5</v>
      </c>
      <c r="H138" s="257" t="s">
        <v>47</v>
      </c>
      <c r="I138" s="261">
        <v>14.1</v>
      </c>
      <c r="J138" s="257">
        <v>-4.7</v>
      </c>
      <c r="K138" s="257">
        <v>-0.9</v>
      </c>
      <c r="L138" s="257">
        <v>-7</v>
      </c>
      <c r="M138" s="257">
        <v>60</v>
      </c>
      <c r="N138" s="257">
        <v>34.7</v>
      </c>
      <c r="O138" s="257">
        <v>27.3</v>
      </c>
      <c r="P138" s="257">
        <v>31</v>
      </c>
      <c r="Q138" s="257">
        <v>63</v>
      </c>
      <c r="R138" s="257">
        <v>30.2</v>
      </c>
      <c r="S138" s="257">
        <v>2</v>
      </c>
      <c r="T138" s="257" t="s">
        <v>104</v>
      </c>
      <c r="U138" s="257" t="s">
        <v>1047</v>
      </c>
      <c r="V138" s="257">
        <v>3.3</v>
      </c>
      <c r="W138" s="257">
        <v>1.9</v>
      </c>
      <c r="X138" s="257" t="s">
        <v>104</v>
      </c>
      <c r="Y138" s="257" t="s">
        <v>1048</v>
      </c>
      <c r="Z138" s="257">
        <v>3.1</v>
      </c>
      <c r="AA138" s="257" t="s">
        <v>104</v>
      </c>
      <c r="AB138" s="257" t="s">
        <v>1049</v>
      </c>
      <c r="AC138" s="257">
        <v>47</v>
      </c>
      <c r="AD138" s="257">
        <v>35</v>
      </c>
      <c r="AE138" s="257">
        <v>1017.9</v>
      </c>
      <c r="AF138" s="257">
        <v>996.6</v>
      </c>
      <c r="AG138" s="257">
        <v>101</v>
      </c>
      <c r="AH138" s="257" t="s">
        <v>1050</v>
      </c>
      <c r="AI138" s="257">
        <v>1</v>
      </c>
      <c r="AJ138" s="257">
        <v>126</v>
      </c>
      <c r="AK138" s="257" t="s">
        <v>1051</v>
      </c>
      <c r="AL138" s="257">
        <v>2.2</v>
      </c>
      <c r="AM138" s="257">
        <v>41.5</v>
      </c>
      <c r="AN138" s="270">
        <v>-17.3</v>
      </c>
    </row>
    <row r="139" s="299" customFormat="1" ht="20.2" customHeight="1" spans="1:40">
      <c r="A139" s="239"/>
      <c r="B139" s="393">
        <v>6</v>
      </c>
      <c r="C139" s="394" t="s">
        <v>1052</v>
      </c>
      <c r="D139" s="393" t="s">
        <v>1053</v>
      </c>
      <c r="E139" s="393" t="s">
        <v>1054</v>
      </c>
      <c r="F139" s="393" t="s">
        <v>1055</v>
      </c>
      <c r="G139" s="393">
        <v>409.9</v>
      </c>
      <c r="H139" s="393" t="s">
        <v>47</v>
      </c>
      <c r="I139" s="393">
        <v>13.9</v>
      </c>
      <c r="J139" s="393">
        <v>-3.8</v>
      </c>
      <c r="K139" s="393">
        <v>-0.3</v>
      </c>
      <c r="L139" s="393">
        <v>-6.2</v>
      </c>
      <c r="M139" s="393">
        <v>55</v>
      </c>
      <c r="N139" s="393">
        <v>34.8</v>
      </c>
      <c r="O139" s="393">
        <v>25.7</v>
      </c>
      <c r="P139" s="393">
        <v>30.3</v>
      </c>
      <c r="Q139" s="393">
        <v>59</v>
      </c>
      <c r="R139" s="393">
        <v>30.1</v>
      </c>
      <c r="S139" s="393">
        <v>2.5</v>
      </c>
      <c r="T139" s="393" t="s">
        <v>387</v>
      </c>
      <c r="U139" s="393">
        <v>23</v>
      </c>
      <c r="V139" s="393">
        <v>3.4</v>
      </c>
      <c r="W139" s="393">
        <v>2.4</v>
      </c>
      <c r="X139" s="393" t="s">
        <v>636</v>
      </c>
      <c r="Y139" s="393" t="s">
        <v>1056</v>
      </c>
      <c r="Z139" s="393">
        <v>3.7</v>
      </c>
      <c r="AA139" s="393" t="s">
        <v>90</v>
      </c>
      <c r="AB139" s="393" t="s">
        <v>1001</v>
      </c>
      <c r="AC139" s="393">
        <v>48</v>
      </c>
      <c r="AD139" s="393">
        <v>32</v>
      </c>
      <c r="AE139" s="393">
        <v>977.6</v>
      </c>
      <c r="AF139" s="393">
        <v>959.3</v>
      </c>
      <c r="AG139" s="393">
        <v>99</v>
      </c>
      <c r="AH139" s="393" t="s">
        <v>1041</v>
      </c>
      <c r="AI139" s="393">
        <v>1.4</v>
      </c>
      <c r="AJ139" s="393">
        <v>128</v>
      </c>
      <c r="AK139" s="393" t="s">
        <v>1057</v>
      </c>
      <c r="AL139" s="393">
        <v>2.6</v>
      </c>
      <c r="AM139" s="393">
        <v>40.2</v>
      </c>
      <c r="AN139" s="395">
        <v>-12.8</v>
      </c>
    </row>
    <row r="140" ht="20.2" customHeight="1" spans="1:40">
      <c r="A140" s="239"/>
      <c r="B140" s="255">
        <v>7</v>
      </c>
      <c r="C140" s="253" t="s">
        <v>1058</v>
      </c>
      <c r="D140" s="255" t="s">
        <v>1059</v>
      </c>
      <c r="E140" s="257" t="s">
        <v>1060</v>
      </c>
      <c r="F140" s="257" t="s">
        <v>1061</v>
      </c>
      <c r="G140" s="257">
        <v>129.2</v>
      </c>
      <c r="H140" s="257" t="s">
        <v>47</v>
      </c>
      <c r="I140" s="257">
        <v>14.9</v>
      </c>
      <c r="J140" s="257">
        <v>-2.1</v>
      </c>
      <c r="K140" s="257">
        <v>1.4</v>
      </c>
      <c r="L140" s="257">
        <v>-4.5</v>
      </c>
      <c r="M140" s="257">
        <v>70</v>
      </c>
      <c r="N140" s="257">
        <v>34.3</v>
      </c>
      <c r="O140" s="257">
        <v>27.8</v>
      </c>
      <c r="P140" s="257">
        <v>30.5</v>
      </c>
      <c r="Q140" s="257">
        <v>69</v>
      </c>
      <c r="R140" s="257">
        <v>30.1</v>
      </c>
      <c r="S140" s="257">
        <v>2</v>
      </c>
      <c r="T140" s="257" t="s">
        <v>198</v>
      </c>
      <c r="U140" s="257" t="s">
        <v>1062</v>
      </c>
      <c r="V140" s="257">
        <v>2.7</v>
      </c>
      <c r="W140" s="257">
        <v>2.1</v>
      </c>
      <c r="X140" s="257" t="s">
        <v>198</v>
      </c>
      <c r="Y140" s="257" t="s">
        <v>1063</v>
      </c>
      <c r="Z140" s="257">
        <v>3.4</v>
      </c>
      <c r="AA140" s="257" t="s">
        <v>198</v>
      </c>
      <c r="AB140" s="257" t="s">
        <v>1064</v>
      </c>
      <c r="AC140" s="257">
        <v>39</v>
      </c>
      <c r="AD140" s="257">
        <v>10</v>
      </c>
      <c r="AE140" s="257">
        <v>1011.2</v>
      </c>
      <c r="AF140" s="257">
        <v>990.4</v>
      </c>
      <c r="AG140" s="257">
        <v>86</v>
      </c>
      <c r="AH140" s="257" t="s">
        <v>1065</v>
      </c>
      <c r="AI140" s="257">
        <v>2.6</v>
      </c>
      <c r="AJ140" s="257">
        <v>116</v>
      </c>
      <c r="AK140" s="257" t="s">
        <v>1066</v>
      </c>
      <c r="AL140" s="257">
        <v>3.8</v>
      </c>
      <c r="AM140" s="257">
        <v>41.4</v>
      </c>
      <c r="AN140" s="270">
        <v>-17.5</v>
      </c>
    </row>
    <row r="141" ht="20.2" customHeight="1" spans="1:40">
      <c r="A141" s="239"/>
      <c r="B141" s="255">
        <v>8</v>
      </c>
      <c r="C141" s="253" t="s">
        <v>1067</v>
      </c>
      <c r="D141" s="255" t="s">
        <v>1068</v>
      </c>
      <c r="E141" s="257" t="s">
        <v>1069</v>
      </c>
      <c r="F141" s="257" t="s">
        <v>1070</v>
      </c>
      <c r="G141" s="257">
        <v>50.1</v>
      </c>
      <c r="H141" s="257" t="s">
        <v>47</v>
      </c>
      <c r="I141" s="257">
        <v>14.1</v>
      </c>
      <c r="J141" s="257">
        <v>-4</v>
      </c>
      <c r="K141" s="257">
        <v>-0.1</v>
      </c>
      <c r="L141" s="257">
        <v>-6.3</v>
      </c>
      <c r="M141" s="257">
        <v>69</v>
      </c>
      <c r="N141" s="257">
        <v>34.6</v>
      </c>
      <c r="O141" s="257">
        <v>27.9</v>
      </c>
      <c r="P141" s="257">
        <v>30.8</v>
      </c>
      <c r="Q141" s="257">
        <v>67</v>
      </c>
      <c r="R141" s="257">
        <v>30.2</v>
      </c>
      <c r="S141" s="257">
        <v>2.4</v>
      </c>
      <c r="T141" s="257" t="s">
        <v>82</v>
      </c>
      <c r="U141" s="257" t="s">
        <v>1071</v>
      </c>
      <c r="V141" s="257">
        <v>2.7</v>
      </c>
      <c r="W141" s="257">
        <v>2.4</v>
      </c>
      <c r="X141" s="257" t="s">
        <v>50</v>
      </c>
      <c r="Y141" s="257" t="s">
        <v>308</v>
      </c>
      <c r="Z141" s="257">
        <v>3.1</v>
      </c>
      <c r="AA141" s="257" t="s">
        <v>82</v>
      </c>
      <c r="AB141" s="257" t="s">
        <v>1072</v>
      </c>
      <c r="AC141" s="257">
        <v>46</v>
      </c>
      <c r="AD141" s="257">
        <v>18</v>
      </c>
      <c r="AE141" s="257">
        <v>1020.8</v>
      </c>
      <c r="AF141" s="257">
        <v>999.4</v>
      </c>
      <c r="AG141" s="257">
        <v>99</v>
      </c>
      <c r="AH141" s="257" t="s">
        <v>1025</v>
      </c>
      <c r="AI141" s="257">
        <v>1.6</v>
      </c>
      <c r="AJ141" s="257">
        <v>125</v>
      </c>
      <c r="AK141" s="257" t="s">
        <v>1073</v>
      </c>
      <c r="AL141" s="257">
        <v>2.8</v>
      </c>
      <c r="AM141" s="257">
        <v>41.3</v>
      </c>
      <c r="AN141" s="270">
        <v>-15.4</v>
      </c>
    </row>
    <row r="142" s="306" customFormat="1" ht="20.2" customHeight="1" spans="1:40">
      <c r="A142" s="239"/>
      <c r="B142" s="364">
        <v>9</v>
      </c>
      <c r="C142" s="253" t="s">
        <v>1074</v>
      </c>
      <c r="D142" s="255" t="s">
        <v>1075</v>
      </c>
      <c r="E142" s="255" t="s">
        <v>1076</v>
      </c>
      <c r="F142" s="255" t="s">
        <v>1077</v>
      </c>
      <c r="G142" s="255">
        <v>114.5</v>
      </c>
      <c r="H142" s="255" t="s">
        <v>47</v>
      </c>
      <c r="I142" s="255">
        <v>15.3</v>
      </c>
      <c r="J142" s="255">
        <v>-2.1</v>
      </c>
      <c r="K142" s="255">
        <v>2.2</v>
      </c>
      <c r="L142" s="255">
        <v>-4.6</v>
      </c>
      <c r="M142" s="255">
        <v>72</v>
      </c>
      <c r="N142" s="255">
        <v>34.5</v>
      </c>
      <c r="O142" s="255">
        <v>27.6</v>
      </c>
      <c r="P142" s="255">
        <v>30.7</v>
      </c>
      <c r="Q142" s="255">
        <v>68</v>
      </c>
      <c r="R142" s="255">
        <v>30.9</v>
      </c>
      <c r="S142" s="255">
        <v>2.4</v>
      </c>
      <c r="T142" s="255" t="s">
        <v>130</v>
      </c>
      <c r="U142" s="255" t="s">
        <v>143</v>
      </c>
      <c r="V142" s="255">
        <v>3.2</v>
      </c>
      <c r="W142" s="255">
        <v>2.4</v>
      </c>
      <c r="X142" s="255" t="s">
        <v>80</v>
      </c>
      <c r="Y142" s="255" t="s">
        <v>1056</v>
      </c>
      <c r="Z142" s="255">
        <v>3.8</v>
      </c>
      <c r="AA142" s="255" t="s">
        <v>80</v>
      </c>
      <c r="AB142" s="255" t="s">
        <v>93</v>
      </c>
      <c r="AC142" s="255">
        <v>42</v>
      </c>
      <c r="AD142" s="255" t="s">
        <v>577</v>
      </c>
      <c r="AE142" s="255">
        <v>1014.3</v>
      </c>
      <c r="AF142" s="255">
        <v>993.4</v>
      </c>
      <c r="AG142" s="255">
        <v>64</v>
      </c>
      <c r="AH142" s="255" t="s">
        <v>740</v>
      </c>
      <c r="AI142" s="255">
        <v>3.1</v>
      </c>
      <c r="AJ142" s="255">
        <v>105</v>
      </c>
      <c r="AK142" s="255" t="s">
        <v>1078</v>
      </c>
      <c r="AL142" s="255">
        <v>4.2</v>
      </c>
      <c r="AM142" s="255">
        <v>40</v>
      </c>
      <c r="AN142" s="437">
        <v>-16.6</v>
      </c>
    </row>
    <row r="143" ht="20.2" customHeight="1" spans="1:40">
      <c r="A143" s="239"/>
      <c r="B143" s="255">
        <v>10</v>
      </c>
      <c r="C143" s="253" t="s">
        <v>1079</v>
      </c>
      <c r="D143" s="255" t="s">
        <v>1080</v>
      </c>
      <c r="E143" s="257" t="s">
        <v>1081</v>
      </c>
      <c r="F143" s="257" t="s">
        <v>1082</v>
      </c>
      <c r="G143" s="257">
        <v>66.8</v>
      </c>
      <c r="H143" s="257" t="s">
        <v>47</v>
      </c>
      <c r="I143" s="257">
        <v>14.5</v>
      </c>
      <c r="J143" s="257">
        <v>-3.2</v>
      </c>
      <c r="K143" s="257">
        <v>0.7</v>
      </c>
      <c r="L143" s="257">
        <v>-5.5</v>
      </c>
      <c r="M143" s="257">
        <v>64</v>
      </c>
      <c r="N143" s="257">
        <v>35.1</v>
      </c>
      <c r="O143" s="257">
        <v>27.9</v>
      </c>
      <c r="P143" s="257">
        <v>30.9</v>
      </c>
      <c r="Q143" s="257">
        <v>66</v>
      </c>
      <c r="R143" s="257">
        <v>30.3</v>
      </c>
      <c r="S143" s="257">
        <v>2.2</v>
      </c>
      <c r="T143" s="257" t="s">
        <v>162</v>
      </c>
      <c r="U143" s="257" t="s">
        <v>768</v>
      </c>
      <c r="V143" s="257">
        <v>3.1</v>
      </c>
      <c r="W143" s="257">
        <v>2.4</v>
      </c>
      <c r="X143" s="257" t="s">
        <v>162</v>
      </c>
      <c r="Y143" s="257" t="s">
        <v>534</v>
      </c>
      <c r="Z143" s="257">
        <v>3.9</v>
      </c>
      <c r="AA143" s="257" t="s">
        <v>162</v>
      </c>
      <c r="AB143" s="257" t="s">
        <v>93</v>
      </c>
      <c r="AC143" s="257">
        <v>43</v>
      </c>
      <c r="AD143" s="257">
        <v>15</v>
      </c>
      <c r="AE143" s="257">
        <v>1028.6</v>
      </c>
      <c r="AF143" s="257">
        <v>997.2</v>
      </c>
      <c r="AG143" s="257">
        <v>95</v>
      </c>
      <c r="AH143" s="257" t="s">
        <v>1083</v>
      </c>
      <c r="AI143" s="257">
        <v>2.2</v>
      </c>
      <c r="AJ143" s="257">
        <v>122</v>
      </c>
      <c r="AK143" s="257" t="s">
        <v>1084</v>
      </c>
      <c r="AL143" s="257">
        <v>3.3</v>
      </c>
      <c r="AM143" s="257">
        <v>41.9</v>
      </c>
      <c r="AN143" s="270">
        <v>-19.6</v>
      </c>
    </row>
    <row r="144" ht="20.2" customHeight="1" spans="1:40">
      <c r="A144" s="239"/>
      <c r="B144" s="255">
        <v>11</v>
      </c>
      <c r="C144" s="253" t="s">
        <v>1085</v>
      </c>
      <c r="D144" s="255" t="s">
        <v>1086</v>
      </c>
      <c r="E144" s="257" t="s">
        <v>1087</v>
      </c>
      <c r="F144" s="257" t="s">
        <v>1088</v>
      </c>
      <c r="G144" s="257">
        <v>82.7</v>
      </c>
      <c r="H144" s="257" t="s">
        <v>47</v>
      </c>
      <c r="I144" s="257">
        <v>14.9</v>
      </c>
      <c r="J144" s="257">
        <v>-2.9</v>
      </c>
      <c r="K144" s="257">
        <v>1.3</v>
      </c>
      <c r="L144" s="257">
        <v>-5.5</v>
      </c>
      <c r="M144" s="257">
        <v>69</v>
      </c>
      <c r="N144" s="257">
        <v>35</v>
      </c>
      <c r="O144" s="257">
        <v>27.8</v>
      </c>
      <c r="P144" s="257">
        <v>30.9</v>
      </c>
      <c r="Q144" s="257">
        <v>67</v>
      </c>
      <c r="R144" s="257">
        <v>30.7</v>
      </c>
      <c r="S144" s="257">
        <v>2.2</v>
      </c>
      <c r="T144" s="257" t="s">
        <v>130</v>
      </c>
      <c r="U144" s="257" t="s">
        <v>695</v>
      </c>
      <c r="V144" s="257">
        <v>2.8</v>
      </c>
      <c r="W144" s="257">
        <v>2.4</v>
      </c>
      <c r="X144" s="257" t="s">
        <v>50</v>
      </c>
      <c r="Y144" s="257" t="s">
        <v>170</v>
      </c>
      <c r="Z144" s="257">
        <v>3.2</v>
      </c>
      <c r="AA144" s="257" t="s">
        <v>50</v>
      </c>
      <c r="AB144" s="257" t="s">
        <v>63</v>
      </c>
      <c r="AC144" s="257">
        <v>42</v>
      </c>
      <c r="AD144" s="257">
        <v>14</v>
      </c>
      <c r="AE144" s="257">
        <v>1016.7</v>
      </c>
      <c r="AF144" s="257">
        <v>995.4</v>
      </c>
      <c r="AG144" s="257">
        <v>87</v>
      </c>
      <c r="AH144" s="257" t="s">
        <v>1089</v>
      </c>
      <c r="AI144" s="257">
        <v>2.5</v>
      </c>
      <c r="AJ144" s="257">
        <v>115</v>
      </c>
      <c r="AK144" s="257" t="s">
        <v>1090</v>
      </c>
      <c r="AL144" s="257">
        <v>3.5</v>
      </c>
      <c r="AM144" s="257">
        <v>40.6</v>
      </c>
      <c r="AN144" s="270">
        <v>-18.1</v>
      </c>
    </row>
    <row r="145" s="301" customFormat="1" ht="20.2" customHeight="1" spans="1:40">
      <c r="A145" s="239"/>
      <c r="B145" s="442">
        <v>12</v>
      </c>
      <c r="C145" s="405" t="s">
        <v>1091</v>
      </c>
      <c r="D145" s="404" t="s">
        <v>1092</v>
      </c>
      <c r="E145" s="404" t="s">
        <v>1093</v>
      </c>
      <c r="F145" s="404" t="s">
        <v>1094</v>
      </c>
      <c r="G145" s="404">
        <v>52.6</v>
      </c>
      <c r="H145" s="404" t="s">
        <v>47</v>
      </c>
      <c r="I145" s="404">
        <v>14.4</v>
      </c>
      <c r="J145" s="404">
        <v>-3.2</v>
      </c>
      <c r="K145" s="404">
        <v>0.6</v>
      </c>
      <c r="L145" s="404">
        <v>-5.7</v>
      </c>
      <c r="M145" s="404">
        <v>68</v>
      </c>
      <c r="N145" s="404">
        <v>35</v>
      </c>
      <c r="O145" s="404">
        <v>28.1</v>
      </c>
      <c r="P145" s="404">
        <v>30.9</v>
      </c>
      <c r="Q145" s="404">
        <v>67</v>
      </c>
      <c r="R145" s="404">
        <v>30.2</v>
      </c>
      <c r="S145" s="404">
        <v>2</v>
      </c>
      <c r="T145" s="404" t="s">
        <v>130</v>
      </c>
      <c r="U145" s="404" t="s">
        <v>786</v>
      </c>
      <c r="V145" s="404">
        <v>2.6</v>
      </c>
      <c r="W145" s="404">
        <v>2.4</v>
      </c>
      <c r="X145" s="404" t="s">
        <v>80</v>
      </c>
      <c r="Y145" s="404" t="s">
        <v>1095</v>
      </c>
      <c r="Z145" s="404">
        <v>3.3</v>
      </c>
      <c r="AA145" s="404" t="s">
        <v>162</v>
      </c>
      <c r="AB145" s="404" t="s">
        <v>1096</v>
      </c>
      <c r="AC145" s="404">
        <v>45</v>
      </c>
      <c r="AD145" s="404">
        <v>12</v>
      </c>
      <c r="AE145" s="404">
        <v>1020.6</v>
      </c>
      <c r="AF145" s="404">
        <v>999</v>
      </c>
      <c r="AG145" s="404">
        <v>91</v>
      </c>
      <c r="AH145" s="404" t="s">
        <v>1097</v>
      </c>
      <c r="AI145" s="404">
        <v>2.1</v>
      </c>
      <c r="AJ145" s="404">
        <v>123</v>
      </c>
      <c r="AK145" s="404" t="s">
        <v>1098</v>
      </c>
      <c r="AL145" s="404">
        <v>3.3</v>
      </c>
      <c r="AM145" s="404">
        <v>41.9</v>
      </c>
      <c r="AN145" s="406">
        <v>-17.4</v>
      </c>
    </row>
    <row r="146" s="289" customFormat="1" ht="20.2" customHeight="1" spans="1:40">
      <c r="A146" s="432" t="s">
        <v>1099</v>
      </c>
      <c r="B146" s="361">
        <v>1</v>
      </c>
      <c r="C146" s="439" t="s">
        <v>1100</v>
      </c>
      <c r="D146" s="361" t="s">
        <v>1101</v>
      </c>
      <c r="E146" s="361" t="s">
        <v>700</v>
      </c>
      <c r="F146" s="361" t="s">
        <v>1102</v>
      </c>
      <c r="G146" s="361">
        <v>23.1</v>
      </c>
      <c r="H146" s="361" t="s">
        <v>47</v>
      </c>
      <c r="I146" s="361">
        <v>16.6</v>
      </c>
      <c r="J146" s="361">
        <v>-0.3</v>
      </c>
      <c r="K146" s="361">
        <v>3.7</v>
      </c>
      <c r="L146" s="361">
        <v>-2.6</v>
      </c>
      <c r="M146" s="361">
        <v>77</v>
      </c>
      <c r="N146" s="361">
        <v>35.2</v>
      </c>
      <c r="O146" s="361">
        <v>28.4</v>
      </c>
      <c r="P146" s="361">
        <v>32</v>
      </c>
      <c r="Q146" s="361">
        <v>67</v>
      </c>
      <c r="R146" s="361">
        <v>32</v>
      </c>
      <c r="S146" s="361">
        <v>2</v>
      </c>
      <c r="T146" s="361" t="s">
        <v>198</v>
      </c>
      <c r="U146" s="361" t="s">
        <v>1103</v>
      </c>
      <c r="V146" s="361">
        <v>2.3</v>
      </c>
      <c r="W146" s="361">
        <v>1.8</v>
      </c>
      <c r="X146" s="361" t="s">
        <v>162</v>
      </c>
      <c r="Y146" s="361" t="s">
        <v>1104</v>
      </c>
      <c r="Z146" s="361">
        <v>3</v>
      </c>
      <c r="AA146" s="361" t="s">
        <v>198</v>
      </c>
      <c r="AB146" s="361" t="s">
        <v>975</v>
      </c>
      <c r="AC146" s="361">
        <v>37</v>
      </c>
      <c r="AD146" s="361">
        <v>9</v>
      </c>
      <c r="AE146" s="361">
        <v>1023.5</v>
      </c>
      <c r="AF146" s="361">
        <v>1002.1</v>
      </c>
      <c r="AG146" s="361">
        <v>50</v>
      </c>
      <c r="AH146" s="361" t="s">
        <v>1105</v>
      </c>
      <c r="AI146" s="361">
        <v>3.9</v>
      </c>
      <c r="AJ146" s="361">
        <v>98</v>
      </c>
      <c r="AK146" s="361" t="s">
        <v>1106</v>
      </c>
      <c r="AL146" s="361">
        <v>5.2</v>
      </c>
      <c r="AM146" s="361">
        <v>39.3</v>
      </c>
      <c r="AN146" s="362">
        <v>-18.1</v>
      </c>
    </row>
    <row r="147" s="298" customFormat="1" ht="20.2" customHeight="1" spans="1:40">
      <c r="A147" s="372"/>
      <c r="B147" s="356">
        <v>2</v>
      </c>
      <c r="C147" s="357" t="s">
        <v>1107</v>
      </c>
      <c r="D147" s="358" t="s">
        <v>1108</v>
      </c>
      <c r="E147" s="390" t="s">
        <v>1109</v>
      </c>
      <c r="F147" s="390" t="s">
        <v>1110</v>
      </c>
      <c r="G147" s="390">
        <v>19.6</v>
      </c>
      <c r="H147" s="390" t="s">
        <v>47</v>
      </c>
      <c r="I147" s="398">
        <v>17.1</v>
      </c>
      <c r="J147" s="390">
        <v>0.7</v>
      </c>
      <c r="K147" s="390">
        <v>4.5</v>
      </c>
      <c r="L147" s="390">
        <v>-1.4</v>
      </c>
      <c r="M147" s="390">
        <v>79</v>
      </c>
      <c r="N147" s="390">
        <v>35.8</v>
      </c>
      <c r="O147" s="390">
        <v>28.3</v>
      </c>
      <c r="P147" s="390">
        <v>32.5</v>
      </c>
      <c r="Q147" s="390">
        <v>65</v>
      </c>
      <c r="R147" s="390">
        <v>32.5</v>
      </c>
      <c r="S147" s="390">
        <v>2.2</v>
      </c>
      <c r="T147" s="390" t="s">
        <v>90</v>
      </c>
      <c r="U147" s="390" t="s">
        <v>1111</v>
      </c>
      <c r="V147" s="390">
        <v>2.8</v>
      </c>
      <c r="W147" s="390">
        <v>2</v>
      </c>
      <c r="X147" s="390" t="s">
        <v>132</v>
      </c>
      <c r="Y147" s="390" t="s">
        <v>1112</v>
      </c>
      <c r="Z147" s="390">
        <v>3.1</v>
      </c>
      <c r="AA147" s="390" t="s">
        <v>278</v>
      </c>
      <c r="AB147" s="390" t="s">
        <v>1113</v>
      </c>
      <c r="AC147" s="390">
        <v>34</v>
      </c>
      <c r="AD147" s="390">
        <v>7</v>
      </c>
      <c r="AE147" s="390">
        <v>1023.4</v>
      </c>
      <c r="AF147" s="390">
        <v>1002.5</v>
      </c>
      <c r="AG147" s="390">
        <v>38</v>
      </c>
      <c r="AH147" s="390" t="s">
        <v>1114</v>
      </c>
      <c r="AI147" s="390">
        <v>4.5</v>
      </c>
      <c r="AJ147" s="390">
        <v>88</v>
      </c>
      <c r="AK147" s="390" t="s">
        <v>1115</v>
      </c>
      <c r="AL147" s="390">
        <v>5.7</v>
      </c>
      <c r="AM147" s="390">
        <v>40.2</v>
      </c>
      <c r="AN147" s="391">
        <v>-10.5</v>
      </c>
    </row>
    <row r="148" ht="20.2" customHeight="1" spans="1:40">
      <c r="A148" s="372"/>
      <c r="B148" s="361">
        <v>3</v>
      </c>
      <c r="C148" s="357" t="s">
        <v>1116</v>
      </c>
      <c r="D148" s="358" t="s">
        <v>1117</v>
      </c>
      <c r="E148" s="257" t="s">
        <v>1118</v>
      </c>
      <c r="F148" s="257" t="s">
        <v>1119</v>
      </c>
      <c r="G148" s="257">
        <v>133.1</v>
      </c>
      <c r="H148" s="257" t="s">
        <v>47</v>
      </c>
      <c r="I148" s="257">
        <v>16.8</v>
      </c>
      <c r="J148" s="257">
        <v>0.9</v>
      </c>
      <c r="K148" s="257">
        <v>4.9</v>
      </c>
      <c r="L148" s="257">
        <v>-1.1</v>
      </c>
      <c r="M148" s="257">
        <v>74</v>
      </c>
      <c r="N148" s="257">
        <v>35.6</v>
      </c>
      <c r="O148" s="257">
        <v>27.8</v>
      </c>
      <c r="P148" s="257">
        <v>31.8</v>
      </c>
      <c r="Q148" s="257">
        <v>66</v>
      </c>
      <c r="R148" s="257">
        <v>31.1</v>
      </c>
      <c r="S148" s="257">
        <v>1.5</v>
      </c>
      <c r="T148" s="257" t="s">
        <v>845</v>
      </c>
      <c r="U148" s="257" t="s">
        <v>1120</v>
      </c>
      <c r="V148" s="257">
        <v>2.6</v>
      </c>
      <c r="W148" s="257">
        <v>1.3</v>
      </c>
      <c r="X148" s="257" t="s">
        <v>845</v>
      </c>
      <c r="Y148" s="257" t="s">
        <v>1121</v>
      </c>
      <c r="Z148" s="257">
        <v>2.2</v>
      </c>
      <c r="AA148" s="257" t="s">
        <v>845</v>
      </c>
      <c r="AB148" s="257" t="s">
        <v>1122</v>
      </c>
      <c r="AC148" s="257">
        <v>27</v>
      </c>
      <c r="AD148" s="257" t="s">
        <v>577</v>
      </c>
      <c r="AE148" s="257">
        <v>1010.4</v>
      </c>
      <c r="AF148" s="257">
        <v>990</v>
      </c>
      <c r="AG148" s="257">
        <v>28</v>
      </c>
      <c r="AH148" s="257" t="s">
        <v>1123</v>
      </c>
      <c r="AI148" s="257">
        <v>4.7</v>
      </c>
      <c r="AJ148" s="257">
        <v>85</v>
      </c>
      <c r="AK148" s="257" t="s">
        <v>1124</v>
      </c>
      <c r="AL148" s="257">
        <v>5.9</v>
      </c>
      <c r="AM148" s="257">
        <v>40.4</v>
      </c>
      <c r="AN148" s="270">
        <v>-9.8</v>
      </c>
    </row>
    <row r="149" ht="20.2" customHeight="1" spans="1:40">
      <c r="A149" s="372"/>
      <c r="B149" s="361">
        <v>4</v>
      </c>
      <c r="C149" s="357" t="s">
        <v>1125</v>
      </c>
      <c r="D149" s="358" t="s">
        <v>1126</v>
      </c>
      <c r="E149" s="257" t="s">
        <v>1127</v>
      </c>
      <c r="F149" s="257" t="s">
        <v>1128</v>
      </c>
      <c r="G149" s="257">
        <v>457.1</v>
      </c>
      <c r="H149" s="257" t="s">
        <v>47</v>
      </c>
      <c r="I149" s="257">
        <v>16.2</v>
      </c>
      <c r="J149" s="257">
        <v>2</v>
      </c>
      <c r="K149" s="257">
        <v>5</v>
      </c>
      <c r="L149" s="257">
        <v>0.4</v>
      </c>
      <c r="M149" s="257">
        <v>84</v>
      </c>
      <c r="N149" s="257">
        <v>34.3</v>
      </c>
      <c r="O149" s="257">
        <v>26</v>
      </c>
      <c r="P149" s="257">
        <v>31</v>
      </c>
      <c r="Q149" s="257">
        <v>57</v>
      </c>
      <c r="R149" s="257">
        <v>29.6</v>
      </c>
      <c r="S149" s="257">
        <v>0.7</v>
      </c>
      <c r="T149" s="257" t="s">
        <v>104</v>
      </c>
      <c r="U149" s="257" t="s">
        <v>1129</v>
      </c>
      <c r="V149" s="257">
        <v>1.9</v>
      </c>
      <c r="W149" s="257">
        <v>0.5</v>
      </c>
      <c r="X149" s="257" t="s">
        <v>104</v>
      </c>
      <c r="Y149" s="257" t="s">
        <v>1130</v>
      </c>
      <c r="Z149" s="257">
        <v>1.5</v>
      </c>
      <c r="AA149" s="257" t="s">
        <v>104</v>
      </c>
      <c r="AB149" s="257" t="s">
        <v>1131</v>
      </c>
      <c r="AC149" s="257">
        <v>14</v>
      </c>
      <c r="AD149" s="257" t="s">
        <v>577</v>
      </c>
      <c r="AE149" s="257">
        <v>970.3</v>
      </c>
      <c r="AF149" s="257">
        <v>954.6</v>
      </c>
      <c r="AG149" s="257">
        <v>13</v>
      </c>
      <c r="AH149" s="257" t="s">
        <v>1132</v>
      </c>
      <c r="AI149" s="257">
        <v>4.8</v>
      </c>
      <c r="AJ149" s="257">
        <v>90</v>
      </c>
      <c r="AK149" s="257" t="s">
        <v>1133</v>
      </c>
      <c r="AL149" s="257">
        <v>6</v>
      </c>
      <c r="AM149" s="257">
        <v>40.3</v>
      </c>
      <c r="AN149" s="270">
        <v>-12.3</v>
      </c>
    </row>
    <row r="150" ht="20.2" customHeight="1" spans="1:40">
      <c r="A150" s="372"/>
      <c r="B150" s="361">
        <v>5</v>
      </c>
      <c r="C150" s="357" t="s">
        <v>1134</v>
      </c>
      <c r="D150" s="358" t="s">
        <v>1135</v>
      </c>
      <c r="E150" s="257" t="s">
        <v>1136</v>
      </c>
      <c r="F150" s="257" t="s">
        <v>1137</v>
      </c>
      <c r="G150" s="261">
        <v>32.6</v>
      </c>
      <c r="H150" s="261" t="s">
        <v>47</v>
      </c>
      <c r="I150" s="257">
        <v>16.5</v>
      </c>
      <c r="J150" s="257">
        <v>0.3</v>
      </c>
      <c r="K150" s="257">
        <v>4.1</v>
      </c>
      <c r="L150" s="257">
        <v>-1.9</v>
      </c>
      <c r="M150" s="257">
        <v>77</v>
      </c>
      <c r="N150" s="257">
        <v>34.7</v>
      </c>
      <c r="O150" s="257">
        <v>28.5</v>
      </c>
      <c r="P150" s="257">
        <v>31.4</v>
      </c>
      <c r="Q150" s="257">
        <v>70</v>
      </c>
      <c r="R150" s="257">
        <v>31.1</v>
      </c>
      <c r="S150" s="257">
        <v>2.3</v>
      </c>
      <c r="T150" s="257" t="s">
        <v>296</v>
      </c>
      <c r="U150" s="257">
        <v>15</v>
      </c>
      <c r="V150" s="257">
        <v>3</v>
      </c>
      <c r="W150" s="257">
        <v>2.1</v>
      </c>
      <c r="X150" s="257" t="s">
        <v>855</v>
      </c>
      <c r="Y150" s="257" t="s">
        <v>261</v>
      </c>
      <c r="Z150" s="257">
        <v>3.2</v>
      </c>
      <c r="AA150" s="257" t="s">
        <v>188</v>
      </c>
      <c r="AB150" s="257" t="s">
        <v>114</v>
      </c>
      <c r="AC150" s="257">
        <v>31</v>
      </c>
      <c r="AD150" s="257">
        <v>5</v>
      </c>
      <c r="AE150" s="257">
        <v>1022.4</v>
      </c>
      <c r="AF150" s="257">
        <v>1000.9</v>
      </c>
      <c r="AG150" s="257">
        <v>44</v>
      </c>
      <c r="AH150" s="257" t="s">
        <v>1138</v>
      </c>
      <c r="AI150" s="257">
        <v>4.2</v>
      </c>
      <c r="AJ150" s="257">
        <v>91</v>
      </c>
      <c r="AK150" s="257" t="s">
        <v>1139</v>
      </c>
      <c r="AL150" s="257">
        <v>5.4</v>
      </c>
      <c r="AM150" s="257">
        <v>38.6</v>
      </c>
      <c r="AN150" s="270">
        <v>-14.9</v>
      </c>
    </row>
    <row r="151" ht="20.2" customHeight="1" spans="1:40">
      <c r="A151" s="372"/>
      <c r="B151" s="361">
        <v>6</v>
      </c>
      <c r="C151" s="357" t="s">
        <v>1140</v>
      </c>
      <c r="D151" s="358" t="s">
        <v>1141</v>
      </c>
      <c r="E151" s="257" t="s">
        <v>1142</v>
      </c>
      <c r="F151" s="257" t="s">
        <v>1143</v>
      </c>
      <c r="G151" s="261">
        <v>125.5</v>
      </c>
      <c r="H151" s="261" t="s">
        <v>47</v>
      </c>
      <c r="I151" s="257">
        <v>15.6</v>
      </c>
      <c r="J151" s="257">
        <v>-1.6</v>
      </c>
      <c r="K151" s="257">
        <v>2.4</v>
      </c>
      <c r="L151" s="257">
        <v>-3.7</v>
      </c>
      <c r="M151" s="257">
        <v>71</v>
      </c>
      <c r="N151" s="257">
        <v>34.7</v>
      </c>
      <c r="O151" s="257">
        <v>27.6</v>
      </c>
      <c r="P151" s="257">
        <v>31.2</v>
      </c>
      <c r="Q151" s="257">
        <v>66</v>
      </c>
      <c r="R151" s="257">
        <v>31</v>
      </c>
      <c r="S151" s="257">
        <v>2.4</v>
      </c>
      <c r="T151" s="257" t="s">
        <v>70</v>
      </c>
      <c r="U151" s="257">
        <v>15</v>
      </c>
      <c r="V151" s="257">
        <v>2.6</v>
      </c>
      <c r="W151" s="257">
        <v>2.3</v>
      </c>
      <c r="X151" s="257" t="s">
        <v>845</v>
      </c>
      <c r="Y151" s="257" t="s">
        <v>1095</v>
      </c>
      <c r="Z151" s="257">
        <v>2.6</v>
      </c>
      <c r="AA151" s="257" t="s">
        <v>845</v>
      </c>
      <c r="AB151" s="257" t="s">
        <v>1144</v>
      </c>
      <c r="AC151" s="257">
        <v>40</v>
      </c>
      <c r="AD151" s="257" t="s">
        <v>577</v>
      </c>
      <c r="AE151" s="257">
        <v>1011.4</v>
      </c>
      <c r="AF151" s="257">
        <v>990.8</v>
      </c>
      <c r="AG151" s="257">
        <v>64</v>
      </c>
      <c r="AH151" s="257" t="s">
        <v>740</v>
      </c>
      <c r="AI151" s="257">
        <v>3.1</v>
      </c>
      <c r="AJ151" s="257">
        <v>102</v>
      </c>
      <c r="AK151" s="257" t="s">
        <v>1145</v>
      </c>
      <c r="AL151" s="257">
        <v>4.2</v>
      </c>
      <c r="AM151" s="257">
        <v>40.7</v>
      </c>
      <c r="AN151" s="270">
        <v>-15.1</v>
      </c>
    </row>
    <row r="152" ht="20.2" customHeight="1" spans="1:40">
      <c r="A152" s="372"/>
      <c r="B152" s="361">
        <v>7</v>
      </c>
      <c r="C152" s="357" t="s">
        <v>1146</v>
      </c>
      <c r="D152" s="358" t="s">
        <v>1147</v>
      </c>
      <c r="E152" s="257" t="s">
        <v>1148</v>
      </c>
      <c r="F152" s="257" t="s">
        <v>1149</v>
      </c>
      <c r="G152" s="261">
        <v>65.8</v>
      </c>
      <c r="H152" s="261" t="s">
        <v>47</v>
      </c>
      <c r="I152" s="257">
        <v>16.1</v>
      </c>
      <c r="J152" s="257">
        <v>-0.5</v>
      </c>
      <c r="K152" s="257">
        <v>3.5</v>
      </c>
      <c r="L152" s="257">
        <v>-2.4</v>
      </c>
      <c r="M152" s="257">
        <v>74</v>
      </c>
      <c r="N152" s="257">
        <v>34.5</v>
      </c>
      <c r="O152" s="257">
        <v>28.2</v>
      </c>
      <c r="P152" s="257">
        <v>31</v>
      </c>
      <c r="Q152" s="257">
        <v>70</v>
      </c>
      <c r="R152" s="257">
        <v>31</v>
      </c>
      <c r="S152" s="257">
        <v>3</v>
      </c>
      <c r="T152" s="257" t="s">
        <v>123</v>
      </c>
      <c r="U152" s="257">
        <v>19</v>
      </c>
      <c r="V152" s="257">
        <v>3.6</v>
      </c>
      <c r="W152" s="257">
        <v>3.1</v>
      </c>
      <c r="X152" s="257" t="s">
        <v>123</v>
      </c>
      <c r="Y152" s="257">
        <v>26</v>
      </c>
      <c r="Z152" s="257">
        <v>4.4</v>
      </c>
      <c r="AA152" s="257" t="s">
        <v>123</v>
      </c>
      <c r="AB152" s="257">
        <v>23</v>
      </c>
      <c r="AC152" s="257">
        <v>37</v>
      </c>
      <c r="AD152" s="257">
        <v>6</v>
      </c>
      <c r="AE152" s="257">
        <v>1018.7</v>
      </c>
      <c r="AF152" s="257">
        <v>997.5</v>
      </c>
      <c r="AG152" s="257">
        <v>54</v>
      </c>
      <c r="AH152" s="257" t="s">
        <v>1150</v>
      </c>
      <c r="AI152" s="257">
        <v>3.8</v>
      </c>
      <c r="AJ152" s="257">
        <v>95</v>
      </c>
      <c r="AK152" s="257" t="s">
        <v>1151</v>
      </c>
      <c r="AL152" s="257">
        <v>4.9</v>
      </c>
      <c r="AM152" s="257">
        <v>38.6</v>
      </c>
      <c r="AN152" s="270">
        <v>-15.3</v>
      </c>
    </row>
    <row r="153" ht="20.2" customHeight="1" spans="1:40">
      <c r="A153" s="372"/>
      <c r="B153" s="361">
        <v>8</v>
      </c>
      <c r="C153" s="357" t="s">
        <v>1152</v>
      </c>
      <c r="D153" s="358" t="s">
        <v>1153</v>
      </c>
      <c r="E153" s="257" t="s">
        <v>715</v>
      </c>
      <c r="F153" s="257" t="s">
        <v>1154</v>
      </c>
      <c r="G153" s="261">
        <v>426.9</v>
      </c>
      <c r="H153" s="261" t="s">
        <v>47</v>
      </c>
      <c r="I153" s="257">
        <v>14.3</v>
      </c>
      <c r="J153" s="257">
        <v>-1.5</v>
      </c>
      <c r="K153" s="257">
        <v>1.9</v>
      </c>
      <c r="L153" s="257">
        <v>-3.4</v>
      </c>
      <c r="M153" s="257">
        <v>71</v>
      </c>
      <c r="N153" s="257">
        <v>34.4</v>
      </c>
      <c r="O153" s="257">
        <v>26.3</v>
      </c>
      <c r="P153" s="257">
        <v>30.3</v>
      </c>
      <c r="Q153" s="257">
        <v>63</v>
      </c>
      <c r="R153" s="257">
        <v>28.9</v>
      </c>
      <c r="S153" s="257">
        <v>1</v>
      </c>
      <c r="T153" s="257" t="s">
        <v>636</v>
      </c>
      <c r="U153" s="257" t="s">
        <v>1155</v>
      </c>
      <c r="V153" s="257">
        <v>2.5</v>
      </c>
      <c r="W153" s="257">
        <v>1.1</v>
      </c>
      <c r="X153" s="257" t="s">
        <v>636</v>
      </c>
      <c r="Y153" s="257" t="s">
        <v>1156</v>
      </c>
      <c r="Z153" s="257">
        <v>3</v>
      </c>
      <c r="AA153" s="257" t="s">
        <v>636</v>
      </c>
      <c r="AB153" s="257" t="s">
        <v>1157</v>
      </c>
      <c r="AC153" s="257">
        <v>35</v>
      </c>
      <c r="AD153" s="257" t="s">
        <v>577</v>
      </c>
      <c r="AE153" s="257">
        <v>974.1</v>
      </c>
      <c r="AF153" s="257">
        <v>956.8</v>
      </c>
      <c r="AG153" s="257">
        <v>72</v>
      </c>
      <c r="AH153" s="257" t="s">
        <v>1158</v>
      </c>
      <c r="AI153" s="257">
        <v>2.9</v>
      </c>
      <c r="AJ153" s="257">
        <v>121</v>
      </c>
      <c r="AK153" s="257" t="s">
        <v>775</v>
      </c>
      <c r="AL153" s="257">
        <v>4.1</v>
      </c>
      <c r="AM153" s="257">
        <v>41.4</v>
      </c>
      <c r="AN153" s="270">
        <v>-17.6</v>
      </c>
    </row>
    <row r="154" ht="20.2" customHeight="1" spans="1:40">
      <c r="A154" s="372"/>
      <c r="B154" s="361">
        <v>9</v>
      </c>
      <c r="C154" s="357" t="s">
        <v>1159</v>
      </c>
      <c r="D154" s="358" t="s">
        <v>1160</v>
      </c>
      <c r="E154" s="257" t="s">
        <v>1161</v>
      </c>
      <c r="F154" s="257" t="s">
        <v>1162</v>
      </c>
      <c r="G154" s="257">
        <v>59.3</v>
      </c>
      <c r="H154" s="257" t="s">
        <v>47</v>
      </c>
      <c r="I154" s="257">
        <v>16.3</v>
      </c>
      <c r="J154" s="257">
        <v>-0.4</v>
      </c>
      <c r="K154" s="257">
        <v>3.5</v>
      </c>
      <c r="L154" s="257">
        <v>-2.5</v>
      </c>
      <c r="M154" s="257">
        <v>74</v>
      </c>
      <c r="N154" s="257">
        <v>35.5</v>
      </c>
      <c r="O154" s="257">
        <v>28</v>
      </c>
      <c r="P154" s="257">
        <v>32.1</v>
      </c>
      <c r="Q154" s="257">
        <v>65</v>
      </c>
      <c r="R154" s="257">
        <v>31.6</v>
      </c>
      <c r="S154" s="257">
        <v>2</v>
      </c>
      <c r="T154" s="257" t="s">
        <v>188</v>
      </c>
      <c r="U154" s="257" t="s">
        <v>1163</v>
      </c>
      <c r="V154" s="257">
        <v>2.6</v>
      </c>
      <c r="W154" s="257">
        <v>2.1</v>
      </c>
      <c r="X154" s="257" t="s">
        <v>188</v>
      </c>
      <c r="Y154" s="257" t="s">
        <v>898</v>
      </c>
      <c r="Z154" s="257">
        <v>3.5</v>
      </c>
      <c r="AA154" s="257" t="s">
        <v>188</v>
      </c>
      <c r="AB154" s="257" t="s">
        <v>1164</v>
      </c>
      <c r="AC154" s="257">
        <v>42</v>
      </c>
      <c r="AD154" s="257">
        <v>5</v>
      </c>
      <c r="AE154" s="257">
        <v>1019.5</v>
      </c>
      <c r="AF154" s="257">
        <v>998.8</v>
      </c>
      <c r="AG154" s="257">
        <v>54</v>
      </c>
      <c r="AH154" s="257" t="s">
        <v>1165</v>
      </c>
      <c r="AI154" s="257">
        <v>3.7</v>
      </c>
      <c r="AJ154" s="257">
        <v>100</v>
      </c>
      <c r="AK154" s="257" t="s">
        <v>1166</v>
      </c>
      <c r="AL154" s="257">
        <v>5</v>
      </c>
      <c r="AM154" s="257">
        <v>39.8</v>
      </c>
      <c r="AN154" s="270">
        <v>-15.3</v>
      </c>
    </row>
    <row r="155" s="298" customFormat="1" ht="20.2" customHeight="1" spans="1:40">
      <c r="A155" s="372"/>
      <c r="B155" s="361">
        <v>10</v>
      </c>
      <c r="C155" s="357" t="s">
        <v>1167</v>
      </c>
      <c r="D155" s="358" t="s">
        <v>1168</v>
      </c>
      <c r="E155" s="390" t="s">
        <v>1169</v>
      </c>
      <c r="F155" s="390" t="s">
        <v>1170</v>
      </c>
      <c r="G155" s="390">
        <v>36</v>
      </c>
      <c r="H155" s="390" t="s">
        <v>47</v>
      </c>
      <c r="I155" s="390">
        <v>17.1</v>
      </c>
      <c r="J155" s="390">
        <v>0.3</v>
      </c>
      <c r="K155" s="390">
        <v>4.4</v>
      </c>
      <c r="L155" s="390">
        <v>-2</v>
      </c>
      <c r="M155" s="390">
        <v>79</v>
      </c>
      <c r="N155" s="390">
        <v>35.7</v>
      </c>
      <c r="O155" s="390">
        <v>28.5</v>
      </c>
      <c r="P155" s="390">
        <v>32.3</v>
      </c>
      <c r="Q155" s="390">
        <v>65</v>
      </c>
      <c r="R155" s="390">
        <v>32.4</v>
      </c>
      <c r="S155" s="390">
        <v>2.1</v>
      </c>
      <c r="T155" s="390" t="s">
        <v>80</v>
      </c>
      <c r="U155" s="390" t="s">
        <v>635</v>
      </c>
      <c r="V155" s="390">
        <v>2.6</v>
      </c>
      <c r="W155" s="390">
        <v>2</v>
      </c>
      <c r="X155" s="390" t="s">
        <v>855</v>
      </c>
      <c r="Y155" s="390" t="s">
        <v>112</v>
      </c>
      <c r="Z155" s="390">
        <v>2.9</v>
      </c>
      <c r="AA155" s="390" t="s">
        <v>855</v>
      </c>
      <c r="AB155" s="390" t="s">
        <v>754</v>
      </c>
      <c r="AC155" s="390">
        <v>34</v>
      </c>
      <c r="AD155" s="390" t="s">
        <v>577</v>
      </c>
      <c r="AE155" s="390">
        <v>1022.1</v>
      </c>
      <c r="AF155" s="390">
        <v>1000.9</v>
      </c>
      <c r="AG155" s="390">
        <v>37</v>
      </c>
      <c r="AH155" s="390" t="s">
        <v>1171</v>
      </c>
      <c r="AI155" s="390">
        <v>4.4</v>
      </c>
      <c r="AJ155" s="390">
        <v>87</v>
      </c>
      <c r="AK155" s="390" t="s">
        <v>650</v>
      </c>
      <c r="AL155" s="390">
        <v>5.6</v>
      </c>
      <c r="AM155" s="390">
        <v>39.4</v>
      </c>
      <c r="AN155" s="391">
        <v>-12</v>
      </c>
    </row>
    <row r="156" s="299" customFormat="1" ht="20.2" customHeight="1" spans="1:40">
      <c r="A156" s="372"/>
      <c r="B156" s="393">
        <v>11</v>
      </c>
      <c r="C156" s="394" t="s">
        <v>1172</v>
      </c>
      <c r="D156" s="393" t="s">
        <v>1173</v>
      </c>
      <c r="E156" s="393" t="s">
        <v>1127</v>
      </c>
      <c r="F156" s="393" t="s">
        <v>1174</v>
      </c>
      <c r="G156" s="393">
        <v>93.3</v>
      </c>
      <c r="H156" s="393" t="s">
        <v>47</v>
      </c>
      <c r="I156" s="393">
        <v>15.8</v>
      </c>
      <c r="J156" s="393">
        <v>-1.1</v>
      </c>
      <c r="K156" s="393">
        <v>2.7</v>
      </c>
      <c r="L156" s="393">
        <v>-3.5</v>
      </c>
      <c r="M156" s="393">
        <v>71</v>
      </c>
      <c r="N156" s="393">
        <v>34.9</v>
      </c>
      <c r="O156" s="393">
        <v>28</v>
      </c>
      <c r="P156" s="393">
        <v>31.4</v>
      </c>
      <c r="Q156" s="393">
        <v>67</v>
      </c>
      <c r="R156" s="393">
        <v>31.1</v>
      </c>
      <c r="S156" s="393">
        <v>2.2</v>
      </c>
      <c r="T156" s="393" t="s">
        <v>211</v>
      </c>
      <c r="U156" s="393" t="s">
        <v>870</v>
      </c>
      <c r="V156" s="393">
        <v>2.6</v>
      </c>
      <c r="W156" s="393">
        <v>2.2</v>
      </c>
      <c r="X156" s="393" t="s">
        <v>80</v>
      </c>
      <c r="Y156" s="393" t="s">
        <v>1175</v>
      </c>
      <c r="Z156" s="393">
        <v>3.6</v>
      </c>
      <c r="AA156" s="393" t="s">
        <v>80</v>
      </c>
      <c r="AB156" s="393" t="s">
        <v>1113</v>
      </c>
      <c r="AC156" s="393">
        <v>41</v>
      </c>
      <c r="AD156" s="393" t="s">
        <v>577</v>
      </c>
      <c r="AE156" s="393">
        <v>1015</v>
      </c>
      <c r="AF156" s="393">
        <v>994.1</v>
      </c>
      <c r="AG156" s="393">
        <v>63</v>
      </c>
      <c r="AH156" s="393" t="s">
        <v>1176</v>
      </c>
      <c r="AI156" s="393">
        <v>3.3</v>
      </c>
      <c r="AJ156" s="393">
        <v>102</v>
      </c>
      <c r="AK156" s="393" t="s">
        <v>1145</v>
      </c>
      <c r="AL156" s="393">
        <v>4.3</v>
      </c>
      <c r="AM156" s="393">
        <v>39.8</v>
      </c>
      <c r="AN156" s="395">
        <v>-16</v>
      </c>
    </row>
    <row r="157" ht="20.2" customHeight="1" spans="1:40">
      <c r="A157" s="239" t="s">
        <v>1177</v>
      </c>
      <c r="B157" s="358">
        <v>1</v>
      </c>
      <c r="C157" s="430" t="s">
        <v>1178</v>
      </c>
      <c r="D157" s="429" t="s">
        <v>1179</v>
      </c>
      <c r="E157" s="257" t="s">
        <v>1180</v>
      </c>
      <c r="F157" s="257" t="s">
        <v>1181</v>
      </c>
      <c r="G157" s="257">
        <v>44.7</v>
      </c>
      <c r="H157" s="257" t="s">
        <v>1182</v>
      </c>
      <c r="I157" s="257">
        <v>17</v>
      </c>
      <c r="J157" s="257">
        <v>0.3</v>
      </c>
      <c r="K157" s="257">
        <v>4.6</v>
      </c>
      <c r="L157" s="257">
        <v>-1.9</v>
      </c>
      <c r="M157" s="257">
        <v>83</v>
      </c>
      <c r="N157" s="257">
        <v>35.8</v>
      </c>
      <c r="O157" s="257">
        <v>27.7</v>
      </c>
      <c r="P157" s="257">
        <v>32.9</v>
      </c>
      <c r="Q157" s="257">
        <v>61</v>
      </c>
      <c r="R157" s="257">
        <v>31.6</v>
      </c>
      <c r="S157" s="257">
        <v>2.6</v>
      </c>
      <c r="T157" s="257" t="s">
        <v>202</v>
      </c>
      <c r="U157" s="257" t="s">
        <v>1144</v>
      </c>
      <c r="V157" s="257">
        <v>1.7</v>
      </c>
      <c r="W157" s="257">
        <v>2.3</v>
      </c>
      <c r="X157" s="257" t="s">
        <v>71</v>
      </c>
      <c r="Y157" s="257">
        <v>32</v>
      </c>
      <c r="Z157" s="257">
        <v>3</v>
      </c>
      <c r="AA157" s="257" t="s">
        <v>71</v>
      </c>
      <c r="AB157" s="257">
        <v>22</v>
      </c>
      <c r="AC157" s="257">
        <v>26</v>
      </c>
      <c r="AD157" s="257" t="s">
        <v>577</v>
      </c>
      <c r="AE157" s="257">
        <v>1019.6</v>
      </c>
      <c r="AF157" s="257">
        <v>999.2</v>
      </c>
      <c r="AG157" s="257">
        <v>48</v>
      </c>
      <c r="AH157" s="257" t="s">
        <v>1183</v>
      </c>
      <c r="AI157" s="257">
        <v>4.3</v>
      </c>
      <c r="AJ157" s="257">
        <v>88</v>
      </c>
      <c r="AK157" s="257" t="s">
        <v>1115</v>
      </c>
      <c r="AL157" s="257">
        <v>505</v>
      </c>
      <c r="AM157" s="257">
        <v>39.7</v>
      </c>
      <c r="AN157" s="270">
        <v>-11.3</v>
      </c>
    </row>
    <row r="158" ht="20.2" customHeight="1" spans="1:40">
      <c r="A158" s="239"/>
      <c r="B158" s="358">
        <v>2</v>
      </c>
      <c r="C158" s="430" t="s">
        <v>1184</v>
      </c>
      <c r="D158" s="429" t="s">
        <v>1185</v>
      </c>
      <c r="E158" s="257" t="s">
        <v>1186</v>
      </c>
      <c r="F158" s="257" t="s">
        <v>268</v>
      </c>
      <c r="G158" s="261">
        <v>35</v>
      </c>
      <c r="H158" s="261" t="s">
        <v>47</v>
      </c>
      <c r="I158" s="257">
        <v>16.9</v>
      </c>
      <c r="J158" s="257">
        <v>0.6</v>
      </c>
      <c r="K158" s="257">
        <v>4.7</v>
      </c>
      <c r="L158" s="257">
        <v>-1.6</v>
      </c>
      <c r="M158" s="257">
        <v>80</v>
      </c>
      <c r="N158" s="257">
        <v>35.4</v>
      </c>
      <c r="O158" s="257">
        <v>28.6</v>
      </c>
      <c r="P158" s="257">
        <v>31.9</v>
      </c>
      <c r="Q158" s="257">
        <v>66</v>
      </c>
      <c r="R158" s="257">
        <v>32</v>
      </c>
      <c r="S158" s="257">
        <v>1.9</v>
      </c>
      <c r="T158" s="257" t="s">
        <v>341</v>
      </c>
      <c r="U158" s="257" t="s">
        <v>1103</v>
      </c>
      <c r="V158" s="257">
        <v>3</v>
      </c>
      <c r="W158" s="257">
        <v>1.6</v>
      </c>
      <c r="X158" s="257" t="s">
        <v>162</v>
      </c>
      <c r="Y158" s="257" t="s">
        <v>1187</v>
      </c>
      <c r="Z158" s="257">
        <v>3</v>
      </c>
      <c r="AA158" s="257" t="s">
        <v>162</v>
      </c>
      <c r="AB158" s="257" t="s">
        <v>1188</v>
      </c>
      <c r="AC158" s="257">
        <v>27</v>
      </c>
      <c r="AD158" s="257" t="s">
        <v>577</v>
      </c>
      <c r="AE158" s="257">
        <v>1022.3</v>
      </c>
      <c r="AF158" s="257">
        <v>1000.8</v>
      </c>
      <c r="AG158" s="257">
        <v>30</v>
      </c>
      <c r="AH158" s="257" t="s">
        <v>1189</v>
      </c>
      <c r="AI158" s="257">
        <v>4.5</v>
      </c>
      <c r="AJ158" s="257">
        <v>86</v>
      </c>
      <c r="AK158" s="257" t="s">
        <v>1190</v>
      </c>
      <c r="AL158" s="257">
        <v>5.8</v>
      </c>
      <c r="AM158" s="257">
        <v>40.1</v>
      </c>
      <c r="AN158" s="270">
        <v>-13.2</v>
      </c>
    </row>
    <row r="159" ht="20.2" customHeight="1" spans="1:40">
      <c r="A159" s="239"/>
      <c r="B159" s="358">
        <v>3</v>
      </c>
      <c r="C159" s="430" t="s">
        <v>1191</v>
      </c>
      <c r="D159" s="429" t="s">
        <v>1192</v>
      </c>
      <c r="E159" s="257" t="s">
        <v>835</v>
      </c>
      <c r="F159" s="257" t="s">
        <v>1193</v>
      </c>
      <c r="G159" s="257">
        <v>104.7</v>
      </c>
      <c r="H159" s="257" t="s">
        <v>47</v>
      </c>
      <c r="I159" s="257">
        <v>18</v>
      </c>
      <c r="J159" s="257">
        <v>1.2</v>
      </c>
      <c r="K159" s="257">
        <v>5.9</v>
      </c>
      <c r="L159" s="257">
        <v>-0.9</v>
      </c>
      <c r="M159" s="257">
        <v>81</v>
      </c>
      <c r="N159" s="257">
        <v>36</v>
      </c>
      <c r="O159" s="257">
        <v>27.7</v>
      </c>
      <c r="P159" s="257">
        <v>33.2</v>
      </c>
      <c r="Q159" s="257">
        <v>58</v>
      </c>
      <c r="R159" s="257">
        <v>32.4</v>
      </c>
      <c r="S159" s="257">
        <v>2.1</v>
      </c>
      <c r="T159" s="257" t="s">
        <v>130</v>
      </c>
      <c r="U159" s="257" t="s">
        <v>1144</v>
      </c>
      <c r="V159" s="257">
        <v>2.5</v>
      </c>
      <c r="W159" s="257">
        <v>1.6</v>
      </c>
      <c r="X159" s="257" t="s">
        <v>198</v>
      </c>
      <c r="Y159" s="257" t="s">
        <v>1194</v>
      </c>
      <c r="Z159" s="257">
        <v>2.7</v>
      </c>
      <c r="AA159" s="257" t="s">
        <v>198</v>
      </c>
      <c r="AB159" s="257" t="s">
        <v>1195</v>
      </c>
      <c r="AC159" s="257">
        <v>23</v>
      </c>
      <c r="AD159" s="257" t="s">
        <v>577</v>
      </c>
      <c r="AE159" s="257">
        <v>1012.6</v>
      </c>
      <c r="AF159" s="257">
        <v>993</v>
      </c>
      <c r="AG159" s="257">
        <v>0</v>
      </c>
      <c r="AH159" s="257" t="s">
        <v>577</v>
      </c>
      <c r="AI159" s="257" t="s">
        <v>577</v>
      </c>
      <c r="AJ159" s="257">
        <v>56</v>
      </c>
      <c r="AK159" s="257" t="s">
        <v>629</v>
      </c>
      <c r="AL159" s="257">
        <v>6.4</v>
      </c>
      <c r="AM159" s="257">
        <v>40</v>
      </c>
      <c r="AN159" s="270">
        <v>-7.9</v>
      </c>
    </row>
    <row r="160" ht="20.2" customHeight="1" spans="1:40">
      <c r="A160" s="239"/>
      <c r="B160" s="443">
        <v>4</v>
      </c>
      <c r="C160" s="430" t="s">
        <v>1196</v>
      </c>
      <c r="D160" s="429" t="s">
        <v>1197</v>
      </c>
      <c r="E160" s="257" t="s">
        <v>1198</v>
      </c>
      <c r="F160" s="257" t="s">
        <v>1199</v>
      </c>
      <c r="G160" s="257">
        <v>248.6</v>
      </c>
      <c r="H160" s="257" t="s">
        <v>47</v>
      </c>
      <c r="I160" s="257">
        <v>17.1</v>
      </c>
      <c r="J160" s="257">
        <v>0.8</v>
      </c>
      <c r="K160" s="257">
        <v>5.2</v>
      </c>
      <c r="L160" s="257">
        <v>-1.2</v>
      </c>
      <c r="M160" s="257">
        <v>80</v>
      </c>
      <c r="N160" s="257">
        <v>34.8</v>
      </c>
      <c r="O160" s="257">
        <v>26.8</v>
      </c>
      <c r="P160" s="257">
        <v>31.9</v>
      </c>
      <c r="Q160" s="257">
        <v>62</v>
      </c>
      <c r="R160" s="257">
        <v>30.9</v>
      </c>
      <c r="S160" s="257">
        <v>1.7</v>
      </c>
      <c r="T160" s="257" t="s">
        <v>60</v>
      </c>
      <c r="U160" s="257" t="s">
        <v>1200</v>
      </c>
      <c r="V160" s="257">
        <v>2.4</v>
      </c>
      <c r="W160" s="257">
        <v>1.5</v>
      </c>
      <c r="X160" s="257" t="s">
        <v>90</v>
      </c>
      <c r="Y160" s="257" t="s">
        <v>1201</v>
      </c>
      <c r="Z160" s="257">
        <v>2</v>
      </c>
      <c r="AA160" s="257" t="s">
        <v>90</v>
      </c>
      <c r="AB160" s="257" t="s">
        <v>1202</v>
      </c>
      <c r="AC160" s="257">
        <v>23</v>
      </c>
      <c r="AD160" s="257">
        <v>5</v>
      </c>
      <c r="AE160" s="257">
        <v>995.1</v>
      </c>
      <c r="AF160" s="257">
        <v>976.9</v>
      </c>
      <c r="AG160" s="257">
        <v>11</v>
      </c>
      <c r="AH160" s="257" t="s">
        <v>1203</v>
      </c>
      <c r="AI160" s="257">
        <v>4.7</v>
      </c>
      <c r="AJ160" s="257">
        <v>67</v>
      </c>
      <c r="AK160" s="257" t="s">
        <v>787</v>
      </c>
      <c r="AL160" s="257">
        <v>6.1</v>
      </c>
      <c r="AM160" s="257">
        <v>39.5</v>
      </c>
      <c r="AN160" s="270">
        <v>-10.5</v>
      </c>
    </row>
    <row r="161" ht="20.2" customHeight="1" spans="1:40">
      <c r="A161" s="239"/>
      <c r="B161" s="358">
        <v>5</v>
      </c>
      <c r="C161" s="430" t="s">
        <v>1204</v>
      </c>
      <c r="D161" s="429" t="s">
        <v>1205</v>
      </c>
      <c r="E161" s="257" t="s">
        <v>1206</v>
      </c>
      <c r="F161" s="257" t="s">
        <v>1181</v>
      </c>
      <c r="G161" s="257">
        <v>53</v>
      </c>
      <c r="H161" s="257" t="s">
        <v>47</v>
      </c>
      <c r="I161" s="261">
        <v>17.2</v>
      </c>
      <c r="J161" s="257">
        <v>0.4</v>
      </c>
      <c r="K161" s="257">
        <v>4.8</v>
      </c>
      <c r="L161" s="257">
        <v>-2</v>
      </c>
      <c r="M161" s="257">
        <v>78</v>
      </c>
      <c r="N161" s="257">
        <v>34.1</v>
      </c>
      <c r="O161" s="257">
        <v>28.3</v>
      </c>
      <c r="P161" s="257">
        <v>31</v>
      </c>
      <c r="Q161" s="257">
        <v>72</v>
      </c>
      <c r="R161" s="257">
        <v>32.2</v>
      </c>
      <c r="S161" s="257">
        <v>2.8</v>
      </c>
      <c r="T161" s="257" t="s">
        <v>687</v>
      </c>
      <c r="U161" s="257">
        <v>11</v>
      </c>
      <c r="V161" s="257">
        <v>3.2</v>
      </c>
      <c r="W161" s="257">
        <v>2.6</v>
      </c>
      <c r="X161" s="257" t="s">
        <v>381</v>
      </c>
      <c r="Y161" s="257">
        <v>20</v>
      </c>
      <c r="Z161" s="257">
        <v>3.3</v>
      </c>
      <c r="AA161" s="257" t="s">
        <v>381</v>
      </c>
      <c r="AB161" s="257">
        <v>16</v>
      </c>
      <c r="AC161" s="257">
        <v>29</v>
      </c>
      <c r="AD161" s="257">
        <v>2</v>
      </c>
      <c r="AE161" s="257">
        <v>1019.5</v>
      </c>
      <c r="AF161" s="257">
        <v>998.7</v>
      </c>
      <c r="AG161" s="257">
        <v>27</v>
      </c>
      <c r="AH161" s="257" t="s">
        <v>1207</v>
      </c>
      <c r="AI161" s="257">
        <v>4.5</v>
      </c>
      <c r="AJ161" s="257">
        <v>68</v>
      </c>
      <c r="AK161" s="257" t="s">
        <v>680</v>
      </c>
      <c r="AL161" s="257">
        <v>5.9</v>
      </c>
      <c r="AM161" s="257">
        <v>39.3</v>
      </c>
      <c r="AN161" s="270">
        <v>-11.4</v>
      </c>
    </row>
    <row r="162" s="307" customFormat="1" ht="20.2" customHeight="1" spans="1:40">
      <c r="A162" s="239"/>
      <c r="B162" s="444">
        <v>6</v>
      </c>
      <c r="C162" s="430" t="s">
        <v>1208</v>
      </c>
      <c r="D162" s="429" t="s">
        <v>1209</v>
      </c>
      <c r="E162" s="445" t="s">
        <v>1210</v>
      </c>
      <c r="F162" s="445" t="s">
        <v>1211</v>
      </c>
      <c r="G162" s="445">
        <v>184.9</v>
      </c>
      <c r="H162" s="445" t="s">
        <v>47</v>
      </c>
      <c r="I162" s="445">
        <v>18</v>
      </c>
      <c r="J162" s="445">
        <v>1</v>
      </c>
      <c r="K162" s="445">
        <v>6.2</v>
      </c>
      <c r="L162" s="445">
        <v>-1.1</v>
      </c>
      <c r="M162" s="445">
        <v>84</v>
      </c>
      <c r="N162" s="445">
        <v>35.6</v>
      </c>
      <c r="O162" s="445">
        <v>26.7</v>
      </c>
      <c r="P162" s="445">
        <v>32.9</v>
      </c>
      <c r="Q162" s="445">
        <v>55</v>
      </c>
      <c r="R162" s="445">
        <v>31.7</v>
      </c>
      <c r="S162" s="445">
        <v>1.6</v>
      </c>
      <c r="T162" s="445" t="s">
        <v>211</v>
      </c>
      <c r="U162" s="445" t="s">
        <v>1212</v>
      </c>
      <c r="V162" s="445">
        <v>3.2</v>
      </c>
      <c r="W162" s="445">
        <v>1.2</v>
      </c>
      <c r="X162" s="445" t="s">
        <v>80</v>
      </c>
      <c r="Y162" s="445" t="s">
        <v>1213</v>
      </c>
      <c r="Z162" s="445">
        <v>2</v>
      </c>
      <c r="AA162" s="445" t="s">
        <v>80</v>
      </c>
      <c r="AB162" s="445" t="s">
        <v>1214</v>
      </c>
      <c r="AC162" s="445">
        <v>21</v>
      </c>
      <c r="AD162" s="445" t="s">
        <v>577</v>
      </c>
      <c r="AE162" s="445">
        <v>1002.2</v>
      </c>
      <c r="AF162" s="445">
        <v>984.3</v>
      </c>
      <c r="AG162" s="445">
        <v>0</v>
      </c>
      <c r="AH162" s="445" t="s">
        <v>577</v>
      </c>
      <c r="AI162" s="445" t="s">
        <v>577</v>
      </c>
      <c r="AJ162" s="445">
        <v>55</v>
      </c>
      <c r="AK162" s="445" t="s">
        <v>1215</v>
      </c>
      <c r="AL162" s="445">
        <v>6.5</v>
      </c>
      <c r="AM162" s="445">
        <v>40.5</v>
      </c>
      <c r="AN162" s="446">
        <v>-6.8</v>
      </c>
    </row>
    <row r="163" ht="20.2" customHeight="1" spans="1:40">
      <c r="A163" s="239"/>
      <c r="B163" s="358">
        <v>7</v>
      </c>
      <c r="C163" s="430" t="s">
        <v>1216</v>
      </c>
      <c r="D163" s="429" t="s">
        <v>1217</v>
      </c>
      <c r="E163" s="257" t="s">
        <v>1218</v>
      </c>
      <c r="F163" s="257" t="s">
        <v>1219</v>
      </c>
      <c r="G163" s="257">
        <v>322.2</v>
      </c>
      <c r="H163" s="257" t="s">
        <v>47</v>
      </c>
      <c r="I163" s="257">
        <v>16.2</v>
      </c>
      <c r="J163" s="257">
        <v>1</v>
      </c>
      <c r="K163" s="257">
        <v>4.7</v>
      </c>
      <c r="L163" s="257">
        <v>0.9</v>
      </c>
      <c r="M163" s="257">
        <v>78</v>
      </c>
      <c r="N163" s="257">
        <v>34.7</v>
      </c>
      <c r="O163" s="257">
        <v>26.9</v>
      </c>
      <c r="P163" s="257">
        <v>31.3</v>
      </c>
      <c r="Q163" s="257">
        <v>66</v>
      </c>
      <c r="R163" s="257">
        <v>30</v>
      </c>
      <c r="S163" s="257">
        <v>1.2</v>
      </c>
      <c r="T163" s="257" t="s">
        <v>198</v>
      </c>
      <c r="U163" s="257" t="s">
        <v>1220</v>
      </c>
      <c r="V163" s="257">
        <v>2.7</v>
      </c>
      <c r="W163" s="257">
        <v>1.2</v>
      </c>
      <c r="X163" s="257" t="s">
        <v>198</v>
      </c>
      <c r="Y163" s="257" t="s">
        <v>1221</v>
      </c>
      <c r="Z163" s="257">
        <v>3</v>
      </c>
      <c r="AA163" s="257" t="s">
        <v>198</v>
      </c>
      <c r="AB163" s="257" t="s">
        <v>1222</v>
      </c>
      <c r="AC163" s="257">
        <v>17</v>
      </c>
      <c r="AD163" s="257" t="s">
        <v>577</v>
      </c>
      <c r="AE163" s="257">
        <v>987.3</v>
      </c>
      <c r="AF163" s="257">
        <v>969.2</v>
      </c>
      <c r="AG163" s="257">
        <v>30</v>
      </c>
      <c r="AH163" s="257" t="s">
        <v>1189</v>
      </c>
      <c r="AI163" s="257">
        <v>4.5</v>
      </c>
      <c r="AJ163" s="257">
        <v>88</v>
      </c>
      <c r="AK163" s="257" t="s">
        <v>1223</v>
      </c>
      <c r="AL163" s="257">
        <v>5.8</v>
      </c>
      <c r="AM163" s="257">
        <v>40.7</v>
      </c>
      <c r="AN163" s="270">
        <v>-10.2</v>
      </c>
    </row>
    <row r="164" ht="20.2" customHeight="1" spans="1:40">
      <c r="A164" s="239"/>
      <c r="B164" s="358">
        <v>8</v>
      </c>
      <c r="C164" s="430" t="s">
        <v>1224</v>
      </c>
      <c r="D164" s="429" t="s">
        <v>1225</v>
      </c>
      <c r="E164" s="257" t="s">
        <v>1226</v>
      </c>
      <c r="F164" s="257" t="s">
        <v>1227</v>
      </c>
      <c r="G164" s="257">
        <v>36</v>
      </c>
      <c r="H164" s="257" t="s">
        <v>47</v>
      </c>
      <c r="I164" s="257">
        <v>17</v>
      </c>
      <c r="J164" s="257">
        <v>0.6</v>
      </c>
      <c r="K164" s="257">
        <v>4.7</v>
      </c>
      <c r="L164" s="257">
        <v>-1.6</v>
      </c>
      <c r="M164" s="257">
        <v>81</v>
      </c>
      <c r="N164" s="257">
        <v>35.1</v>
      </c>
      <c r="O164" s="257">
        <v>28.4</v>
      </c>
      <c r="P164" s="257">
        <v>31.7</v>
      </c>
      <c r="Q164" s="257">
        <v>67</v>
      </c>
      <c r="R164" s="257">
        <v>32</v>
      </c>
      <c r="S164" s="257">
        <v>2.7</v>
      </c>
      <c r="T164" s="257" t="s">
        <v>687</v>
      </c>
      <c r="U164" s="257">
        <v>14</v>
      </c>
      <c r="V164" s="257">
        <v>3.3</v>
      </c>
      <c r="W164" s="257">
        <v>2.4</v>
      </c>
      <c r="X164" s="257" t="s">
        <v>369</v>
      </c>
      <c r="Y164" s="257">
        <v>22</v>
      </c>
      <c r="Z164" s="257">
        <v>3.8</v>
      </c>
      <c r="AA164" s="257" t="s">
        <v>369</v>
      </c>
      <c r="AB164" s="257">
        <v>18</v>
      </c>
      <c r="AC164" s="257">
        <v>27</v>
      </c>
      <c r="AD164" s="257" t="s">
        <v>577</v>
      </c>
      <c r="AE164" s="257">
        <v>1021.5</v>
      </c>
      <c r="AF164" s="257">
        <v>1000.4</v>
      </c>
      <c r="AG164" s="257">
        <v>29</v>
      </c>
      <c r="AH164" s="257" t="s">
        <v>1228</v>
      </c>
      <c r="AI164" s="257">
        <v>4.5</v>
      </c>
      <c r="AJ164" s="257">
        <v>85</v>
      </c>
      <c r="AK164" s="257" t="s">
        <v>1229</v>
      </c>
      <c r="AL164" s="257">
        <v>5.8</v>
      </c>
      <c r="AM164" s="257">
        <v>38.9</v>
      </c>
      <c r="AN164" s="270">
        <v>-11.2</v>
      </c>
    </row>
    <row r="165" ht="20.2" customHeight="1" spans="1:40">
      <c r="A165" s="239"/>
      <c r="B165" s="358">
        <v>9</v>
      </c>
      <c r="C165" s="430" t="s">
        <v>1230</v>
      </c>
      <c r="D165" s="429" t="s">
        <v>1231</v>
      </c>
      <c r="E165" s="257" t="s">
        <v>1232</v>
      </c>
      <c r="F165" s="257" t="s">
        <v>1233</v>
      </c>
      <c r="G165" s="257">
        <v>172.6</v>
      </c>
      <c r="H165" s="257" t="s">
        <v>47</v>
      </c>
      <c r="I165" s="257">
        <v>17.8</v>
      </c>
      <c r="J165" s="257">
        <v>1</v>
      </c>
      <c r="K165" s="257">
        <v>6</v>
      </c>
      <c r="L165" s="257">
        <v>-1</v>
      </c>
      <c r="M165" s="257">
        <v>81</v>
      </c>
      <c r="N165" s="257">
        <v>34.9</v>
      </c>
      <c r="O165" s="257">
        <v>26.9</v>
      </c>
      <c r="P165" s="257">
        <v>32.1</v>
      </c>
      <c r="Q165" s="257">
        <v>60</v>
      </c>
      <c r="R165" s="257">
        <v>31.3</v>
      </c>
      <c r="S165" s="257">
        <v>3</v>
      </c>
      <c r="T165" s="257" t="s">
        <v>296</v>
      </c>
      <c r="U165" s="257">
        <v>19</v>
      </c>
      <c r="V165" s="257">
        <v>3.2</v>
      </c>
      <c r="W165" s="257">
        <v>3.1</v>
      </c>
      <c r="X165" s="257" t="s">
        <v>262</v>
      </c>
      <c r="Y165" s="257">
        <v>26</v>
      </c>
      <c r="Z165" s="257">
        <v>4</v>
      </c>
      <c r="AA165" s="257" t="s">
        <v>262</v>
      </c>
      <c r="AB165" s="257">
        <v>18</v>
      </c>
      <c r="AC165" s="257">
        <v>23</v>
      </c>
      <c r="AD165" s="257" t="s">
        <v>577</v>
      </c>
      <c r="AE165" s="257">
        <v>1012.6</v>
      </c>
      <c r="AF165" s="257">
        <v>993</v>
      </c>
      <c r="AG165" s="257">
        <v>0</v>
      </c>
      <c r="AH165" s="257" t="s">
        <v>577</v>
      </c>
      <c r="AI165" s="257" t="s">
        <v>577</v>
      </c>
      <c r="AJ165" s="257">
        <v>56</v>
      </c>
      <c r="AK165" s="257" t="s">
        <v>629</v>
      </c>
      <c r="AL165" s="257">
        <v>6.6</v>
      </c>
      <c r="AM165" s="257">
        <v>39.7</v>
      </c>
      <c r="AN165" s="270">
        <v>-7</v>
      </c>
    </row>
    <row r="166" ht="20.2" customHeight="1" spans="1:40">
      <c r="A166" s="239"/>
      <c r="B166" s="358">
        <v>10</v>
      </c>
      <c r="C166" s="430" t="s">
        <v>1234</v>
      </c>
      <c r="D166" s="429" t="s">
        <v>1235</v>
      </c>
      <c r="E166" s="257" t="s">
        <v>1236</v>
      </c>
      <c r="F166" s="257" t="s">
        <v>1237</v>
      </c>
      <c r="G166" s="257">
        <v>272.2</v>
      </c>
      <c r="H166" s="257" t="s">
        <v>47</v>
      </c>
      <c r="I166" s="257">
        <v>16.5</v>
      </c>
      <c r="J166" s="257">
        <v>0.8</v>
      </c>
      <c r="K166" s="257">
        <v>4.9</v>
      </c>
      <c r="L166" s="257">
        <v>-1.1</v>
      </c>
      <c r="M166" s="257">
        <v>80</v>
      </c>
      <c r="N166" s="257">
        <v>34</v>
      </c>
      <c r="O166" s="257">
        <v>26.8</v>
      </c>
      <c r="P166" s="257">
        <v>31.2</v>
      </c>
      <c r="Q166" s="257">
        <v>66</v>
      </c>
      <c r="R166" s="257">
        <v>29.7</v>
      </c>
      <c r="S166" s="257">
        <v>1.3</v>
      </c>
      <c r="T166" s="257" t="s">
        <v>198</v>
      </c>
      <c r="U166" s="257" t="s">
        <v>1238</v>
      </c>
      <c r="V166" s="257">
        <v>2.6</v>
      </c>
      <c r="W166" s="257">
        <v>1.6</v>
      </c>
      <c r="X166" s="257" t="s">
        <v>395</v>
      </c>
      <c r="Y166" s="257" t="s">
        <v>1239</v>
      </c>
      <c r="Z166" s="257">
        <v>3.1</v>
      </c>
      <c r="AA166" s="257" t="s">
        <v>395</v>
      </c>
      <c r="AB166" s="257" t="s">
        <v>1240</v>
      </c>
      <c r="AC166" s="257">
        <v>19</v>
      </c>
      <c r="AD166" s="257" t="s">
        <v>577</v>
      </c>
      <c r="AE166" s="257">
        <v>991.9</v>
      </c>
      <c r="AF166" s="257">
        <v>974</v>
      </c>
      <c r="AG166" s="257">
        <v>29</v>
      </c>
      <c r="AH166" s="257" t="s">
        <v>1241</v>
      </c>
      <c r="AI166" s="257">
        <v>4.7</v>
      </c>
      <c r="AJ166" s="257">
        <v>69</v>
      </c>
      <c r="AK166" s="257" t="s">
        <v>1242</v>
      </c>
      <c r="AL166" s="257">
        <v>5.9</v>
      </c>
      <c r="AM166" s="257">
        <v>39.1</v>
      </c>
      <c r="AN166" s="270">
        <v>-11.5</v>
      </c>
    </row>
    <row r="167" ht="20.2" customHeight="1" spans="1:40">
      <c r="A167" s="239"/>
      <c r="B167" s="358">
        <v>11</v>
      </c>
      <c r="C167" s="430" t="s">
        <v>1243</v>
      </c>
      <c r="D167" s="429" t="s">
        <v>1244</v>
      </c>
      <c r="E167" s="257" t="s">
        <v>1236</v>
      </c>
      <c r="F167" s="257" t="s">
        <v>1245</v>
      </c>
      <c r="G167" s="257">
        <v>100</v>
      </c>
      <c r="H167" s="257" t="s">
        <v>47</v>
      </c>
      <c r="I167" s="257">
        <v>17</v>
      </c>
      <c r="J167" s="257">
        <v>0.6</v>
      </c>
      <c r="K167" s="257">
        <v>4.8</v>
      </c>
      <c r="L167" s="257">
        <v>-1.6</v>
      </c>
      <c r="M167" s="257">
        <v>82</v>
      </c>
      <c r="N167" s="257">
        <v>35.6</v>
      </c>
      <c r="O167" s="257">
        <v>27.5</v>
      </c>
      <c r="P167" s="257">
        <v>32.7</v>
      </c>
      <c r="Q167" s="257">
        <v>60</v>
      </c>
      <c r="R167" s="257">
        <v>31.5</v>
      </c>
      <c r="S167" s="257">
        <v>2</v>
      </c>
      <c r="T167" s="257" t="s">
        <v>162</v>
      </c>
      <c r="U167" s="257" t="s">
        <v>1120</v>
      </c>
      <c r="V167" s="257">
        <v>2.7</v>
      </c>
      <c r="W167" s="257">
        <v>1.7</v>
      </c>
      <c r="X167" s="257" t="s">
        <v>395</v>
      </c>
      <c r="Y167" s="257" t="s">
        <v>1246</v>
      </c>
      <c r="Z167" s="257">
        <v>3</v>
      </c>
      <c r="AA167" s="257" t="s">
        <v>395</v>
      </c>
      <c r="AB167" s="257" t="s">
        <v>1247</v>
      </c>
      <c r="AC167" s="257">
        <v>24</v>
      </c>
      <c r="AD167" s="257" t="s">
        <v>577</v>
      </c>
      <c r="AE167" s="257">
        <v>1013.2</v>
      </c>
      <c r="AF167" s="257">
        <v>993.4</v>
      </c>
      <c r="AG167" s="257">
        <v>30</v>
      </c>
      <c r="AH167" s="257" t="s">
        <v>1189</v>
      </c>
      <c r="AI167" s="257">
        <v>4.6</v>
      </c>
      <c r="AJ167" s="257">
        <v>87</v>
      </c>
      <c r="AK167" s="257" t="s">
        <v>650</v>
      </c>
      <c r="AL167" s="257">
        <v>5.9</v>
      </c>
      <c r="AM167" s="257">
        <v>39.7</v>
      </c>
      <c r="AN167" s="270">
        <v>-11.7</v>
      </c>
    </row>
    <row r="168" s="288" customFormat="1" ht="20.2" customHeight="1" spans="1:40">
      <c r="A168" s="363"/>
      <c r="B168" s="444">
        <v>12</v>
      </c>
      <c r="C168" s="357" t="s">
        <v>1248</v>
      </c>
      <c r="D168" s="358" t="s">
        <v>1249</v>
      </c>
      <c r="E168" s="358" t="s">
        <v>1250</v>
      </c>
      <c r="F168" s="358" t="s">
        <v>1251</v>
      </c>
      <c r="G168" s="358">
        <v>208.4</v>
      </c>
      <c r="H168" s="358" t="s">
        <v>47</v>
      </c>
      <c r="I168" s="358">
        <v>16.6</v>
      </c>
      <c r="J168" s="358">
        <v>1.3</v>
      </c>
      <c r="K168" s="358">
        <v>5.1</v>
      </c>
      <c r="L168" s="358">
        <v>-0.6</v>
      </c>
      <c r="M168" s="358">
        <v>79</v>
      </c>
      <c r="N168" s="358">
        <v>34.8</v>
      </c>
      <c r="O168" s="358">
        <v>27</v>
      </c>
      <c r="P168" s="358">
        <v>31.7</v>
      </c>
      <c r="Q168" s="358">
        <v>64</v>
      </c>
      <c r="R168" s="358">
        <v>30</v>
      </c>
      <c r="S168" s="358">
        <v>1</v>
      </c>
      <c r="T168" s="358" t="s">
        <v>162</v>
      </c>
      <c r="U168" s="358" t="s">
        <v>1238</v>
      </c>
      <c r="V168" s="358">
        <v>1.6</v>
      </c>
      <c r="W168" s="358">
        <v>0.9</v>
      </c>
      <c r="X168" s="358" t="s">
        <v>395</v>
      </c>
      <c r="Y168" s="358" t="s">
        <v>1252</v>
      </c>
      <c r="Z168" s="358">
        <v>2</v>
      </c>
      <c r="AA168" s="358" t="s">
        <v>855</v>
      </c>
      <c r="AB168" s="358" t="s">
        <v>1253</v>
      </c>
      <c r="AC168" s="358">
        <v>18</v>
      </c>
      <c r="AD168" s="358" t="s">
        <v>577</v>
      </c>
      <c r="AE168" s="358">
        <v>1000.5</v>
      </c>
      <c r="AF168" s="358">
        <v>981.3</v>
      </c>
      <c r="AG168" s="358">
        <v>11</v>
      </c>
      <c r="AH168" s="358" t="s">
        <v>1254</v>
      </c>
      <c r="AI168" s="358">
        <v>4.8</v>
      </c>
      <c r="AJ168" s="358">
        <v>68</v>
      </c>
      <c r="AK168" s="358" t="s">
        <v>680</v>
      </c>
      <c r="AL168" s="358">
        <v>6.1</v>
      </c>
      <c r="AM168" s="358">
        <v>40.2</v>
      </c>
      <c r="AN168" s="359">
        <v>-7.5</v>
      </c>
    </row>
    <row r="169" s="301" customFormat="1" ht="20.2" customHeight="1" spans="1:40">
      <c r="A169" s="447" t="s">
        <v>1255</v>
      </c>
      <c r="B169" s="404">
        <v>1</v>
      </c>
      <c r="C169" s="405" t="s">
        <v>1256</v>
      </c>
      <c r="D169" s="404" t="s">
        <v>1257</v>
      </c>
      <c r="E169" s="404" t="s">
        <v>1258</v>
      </c>
      <c r="F169" s="404" t="s">
        <v>187</v>
      </c>
      <c r="G169" s="404">
        <v>41.7</v>
      </c>
      <c r="H169" s="404" t="s">
        <v>47</v>
      </c>
      <c r="I169" s="404">
        <v>22</v>
      </c>
      <c r="J169" s="404">
        <v>8</v>
      </c>
      <c r="K169" s="404">
        <v>13.6</v>
      </c>
      <c r="L169" s="404">
        <v>5.2</v>
      </c>
      <c r="M169" s="404">
        <v>72</v>
      </c>
      <c r="N169" s="404">
        <v>34.2</v>
      </c>
      <c r="O169" s="404">
        <v>27.8</v>
      </c>
      <c r="P169" s="404">
        <v>31.8</v>
      </c>
      <c r="Q169" s="404">
        <v>68</v>
      </c>
      <c r="R169" s="404">
        <v>30.7</v>
      </c>
      <c r="S169" s="404">
        <v>1.7</v>
      </c>
      <c r="T169" s="404" t="s">
        <v>211</v>
      </c>
      <c r="U169" s="404" t="s">
        <v>1188</v>
      </c>
      <c r="V169" s="404">
        <v>2.3</v>
      </c>
      <c r="W169" s="404">
        <v>1.7</v>
      </c>
      <c r="X169" s="404" t="s">
        <v>188</v>
      </c>
      <c r="Y169" s="404" t="s">
        <v>1259</v>
      </c>
      <c r="Z169" s="404">
        <v>2.7</v>
      </c>
      <c r="AA169" s="404" t="s">
        <v>188</v>
      </c>
      <c r="AB169" s="404" t="s">
        <v>1120</v>
      </c>
      <c r="AC169" s="404">
        <v>36</v>
      </c>
      <c r="AD169" s="404" t="s">
        <v>577</v>
      </c>
      <c r="AE169" s="404">
        <v>1019</v>
      </c>
      <c r="AF169" s="404">
        <v>1004</v>
      </c>
      <c r="AG169" s="404">
        <v>0</v>
      </c>
      <c r="AH169" s="404" t="s">
        <v>577</v>
      </c>
      <c r="AI169" s="404" t="s">
        <v>577</v>
      </c>
      <c r="AJ169" s="404">
        <v>0</v>
      </c>
      <c r="AK169" s="404" t="s">
        <v>577</v>
      </c>
      <c r="AL169" s="404" t="s">
        <v>577</v>
      </c>
      <c r="AM169" s="404">
        <v>38.1</v>
      </c>
      <c r="AN169" s="406">
        <v>0</v>
      </c>
    </row>
    <row r="170" s="298" customFormat="1" ht="20.2" customHeight="1" spans="1:40">
      <c r="A170" s="375"/>
      <c r="B170" s="364">
        <v>2</v>
      </c>
      <c r="C170" s="253" t="s">
        <v>1260</v>
      </c>
      <c r="D170" s="255" t="s">
        <v>1261</v>
      </c>
      <c r="E170" s="390" t="s">
        <v>1262</v>
      </c>
      <c r="F170" s="390" t="s">
        <v>1263</v>
      </c>
      <c r="G170" s="390">
        <v>25.3</v>
      </c>
      <c r="H170" s="390" t="s">
        <v>47</v>
      </c>
      <c r="I170" s="390">
        <v>23.3</v>
      </c>
      <c r="J170" s="390">
        <v>10</v>
      </c>
      <c r="K170" s="390">
        <v>15.9</v>
      </c>
      <c r="L170" s="390">
        <v>7.5</v>
      </c>
      <c r="M170" s="390">
        <v>81</v>
      </c>
      <c r="N170" s="390">
        <v>33.9</v>
      </c>
      <c r="O170" s="390">
        <v>28.1</v>
      </c>
      <c r="P170" s="390">
        <v>31.5</v>
      </c>
      <c r="Q170" s="390">
        <v>70</v>
      </c>
      <c r="R170" s="390">
        <v>30.8</v>
      </c>
      <c r="S170" s="390">
        <v>2.6</v>
      </c>
      <c r="T170" s="390" t="s">
        <v>70</v>
      </c>
      <c r="U170" s="390">
        <v>15</v>
      </c>
      <c r="V170" s="390">
        <v>3.1</v>
      </c>
      <c r="W170" s="390">
        <v>2.6</v>
      </c>
      <c r="X170" s="390" t="s">
        <v>387</v>
      </c>
      <c r="Y170" s="390">
        <v>17</v>
      </c>
      <c r="Z170" s="390">
        <v>3.1</v>
      </c>
      <c r="AA170" s="390" t="s">
        <v>592</v>
      </c>
      <c r="AB170" s="390">
        <v>13</v>
      </c>
      <c r="AC170" s="390">
        <v>34</v>
      </c>
      <c r="AD170" s="390" t="s">
        <v>577</v>
      </c>
      <c r="AE170" s="390">
        <v>1015.5</v>
      </c>
      <c r="AF170" s="390">
        <v>1001.3</v>
      </c>
      <c r="AG170" s="390">
        <v>0</v>
      </c>
      <c r="AH170" s="390" t="s">
        <v>577</v>
      </c>
      <c r="AI170" s="390" t="s">
        <v>577</v>
      </c>
      <c r="AJ170" s="390">
        <v>0</v>
      </c>
      <c r="AK170" s="390" t="s">
        <v>577</v>
      </c>
      <c r="AL170" s="390" t="s">
        <v>577</v>
      </c>
      <c r="AM170" s="390">
        <v>38.1</v>
      </c>
      <c r="AN170" s="391">
        <v>2.8</v>
      </c>
    </row>
    <row r="171" ht="20.2" customHeight="1" spans="1:40">
      <c r="A171" s="375"/>
      <c r="B171" s="246">
        <v>3</v>
      </c>
      <c r="C171" s="253" t="s">
        <v>1264</v>
      </c>
      <c r="D171" s="255" t="s">
        <v>1265</v>
      </c>
      <c r="E171" s="257" t="s">
        <v>1266</v>
      </c>
      <c r="F171" s="257" t="s">
        <v>1267</v>
      </c>
      <c r="G171" s="257">
        <v>1.1</v>
      </c>
      <c r="H171" s="257" t="s">
        <v>47</v>
      </c>
      <c r="I171" s="257">
        <v>21.5</v>
      </c>
      <c r="J171" s="257">
        <v>9.4</v>
      </c>
      <c r="K171" s="257">
        <v>13.8</v>
      </c>
      <c r="L171" s="257">
        <v>7.1</v>
      </c>
      <c r="M171" s="257">
        <v>78</v>
      </c>
      <c r="N171" s="257">
        <v>33.2</v>
      </c>
      <c r="O171" s="257">
        <v>27.7</v>
      </c>
      <c r="P171" s="257">
        <v>30.9</v>
      </c>
      <c r="Q171" s="257">
        <v>72</v>
      </c>
      <c r="R171" s="257">
        <v>30</v>
      </c>
      <c r="S171" s="257">
        <v>2.6</v>
      </c>
      <c r="T171" s="257" t="s">
        <v>356</v>
      </c>
      <c r="U171" s="257" t="s">
        <v>49</v>
      </c>
      <c r="V171" s="257">
        <v>3.3</v>
      </c>
      <c r="W171" s="257">
        <v>2.7</v>
      </c>
      <c r="X171" s="257" t="s">
        <v>622</v>
      </c>
      <c r="Y171" s="257">
        <v>24</v>
      </c>
      <c r="Z171" s="257">
        <v>3.7</v>
      </c>
      <c r="AA171" s="257" t="s">
        <v>622</v>
      </c>
      <c r="AB171" s="257">
        <v>18</v>
      </c>
      <c r="AC171" s="257">
        <v>42</v>
      </c>
      <c r="AD171" s="257" t="s">
        <v>577</v>
      </c>
      <c r="AE171" s="257">
        <v>1020.2</v>
      </c>
      <c r="AF171" s="257">
        <v>1005.7</v>
      </c>
      <c r="AG171" s="257">
        <v>0</v>
      </c>
      <c r="AH171" s="257" t="s">
        <v>577</v>
      </c>
      <c r="AI171" s="257" t="s">
        <v>577</v>
      </c>
      <c r="AJ171" s="257">
        <v>0</v>
      </c>
      <c r="AK171" s="257" t="s">
        <v>577</v>
      </c>
      <c r="AL171" s="257" t="s">
        <v>577</v>
      </c>
      <c r="AM171" s="257">
        <v>38.6</v>
      </c>
      <c r="AN171" s="270">
        <v>0.3</v>
      </c>
    </row>
    <row r="172" ht="20.2" customHeight="1" spans="1:40">
      <c r="A172" s="375"/>
      <c r="B172" s="255">
        <v>4</v>
      </c>
      <c r="C172" s="253" t="s">
        <v>1268</v>
      </c>
      <c r="D172" s="255" t="s">
        <v>1269</v>
      </c>
      <c r="E172" s="257" t="s">
        <v>1270</v>
      </c>
      <c r="F172" s="257" t="s">
        <v>1271</v>
      </c>
      <c r="G172" s="257">
        <v>60.7</v>
      </c>
      <c r="H172" s="257" t="s">
        <v>47</v>
      </c>
      <c r="I172" s="257">
        <v>20.4</v>
      </c>
      <c r="J172" s="257">
        <v>5</v>
      </c>
      <c r="K172" s="257">
        <v>10.2</v>
      </c>
      <c r="L172" s="257">
        <v>2.6</v>
      </c>
      <c r="M172" s="257">
        <v>75</v>
      </c>
      <c r="N172" s="257">
        <v>35.4</v>
      </c>
      <c r="O172" s="257">
        <v>27.3</v>
      </c>
      <c r="P172" s="257">
        <v>33</v>
      </c>
      <c r="Q172" s="257">
        <v>60</v>
      </c>
      <c r="R172" s="257">
        <v>31.2</v>
      </c>
      <c r="S172" s="257">
        <v>1.6</v>
      </c>
      <c r="T172" s="257" t="s">
        <v>104</v>
      </c>
      <c r="U172" s="257" t="s">
        <v>1272</v>
      </c>
      <c r="V172" s="257">
        <v>2.8</v>
      </c>
      <c r="W172" s="257">
        <v>1.5</v>
      </c>
      <c r="X172" s="257" t="s">
        <v>200</v>
      </c>
      <c r="Y172" s="257" t="s">
        <v>1273</v>
      </c>
      <c r="Z172" s="257">
        <v>2.9</v>
      </c>
      <c r="AA172" s="257" t="s">
        <v>104</v>
      </c>
      <c r="AB172" s="257" t="s">
        <v>1274</v>
      </c>
      <c r="AC172" s="257">
        <v>30</v>
      </c>
      <c r="AD172" s="257" t="s">
        <v>577</v>
      </c>
      <c r="AE172" s="257">
        <v>1014.5</v>
      </c>
      <c r="AF172" s="257">
        <v>997.6</v>
      </c>
      <c r="AG172" s="257">
        <v>0</v>
      </c>
      <c r="AH172" s="257" t="s">
        <v>577</v>
      </c>
      <c r="AI172" s="257" t="s">
        <v>577</v>
      </c>
      <c r="AJ172" s="257">
        <v>0</v>
      </c>
      <c r="AK172" s="257" t="s">
        <v>577</v>
      </c>
      <c r="AL172" s="257" t="s">
        <v>577</v>
      </c>
      <c r="AM172" s="257">
        <v>40.3</v>
      </c>
      <c r="AN172" s="270">
        <v>-4.3</v>
      </c>
    </row>
    <row r="173" ht="20.2" customHeight="1" spans="1:40">
      <c r="A173" s="375"/>
      <c r="B173" s="255">
        <v>5</v>
      </c>
      <c r="C173" s="253" t="s">
        <v>1275</v>
      </c>
      <c r="D173" s="255" t="s">
        <v>1276</v>
      </c>
      <c r="E173" s="257" t="s">
        <v>1277</v>
      </c>
      <c r="F173" s="257" t="s">
        <v>349</v>
      </c>
      <c r="G173" s="257">
        <v>23.3</v>
      </c>
      <c r="H173" s="257" t="s">
        <v>47</v>
      </c>
      <c r="I173" s="257">
        <v>22.5</v>
      </c>
      <c r="J173" s="257">
        <v>9.4</v>
      </c>
      <c r="K173" s="257">
        <v>15.1</v>
      </c>
      <c r="L173" s="257">
        <v>6.8</v>
      </c>
      <c r="M173" s="257">
        <v>74</v>
      </c>
      <c r="N173" s="257">
        <v>33</v>
      </c>
      <c r="O173" s="257">
        <v>27.8</v>
      </c>
      <c r="P173" s="257">
        <v>30.7</v>
      </c>
      <c r="Q173" s="257">
        <v>74</v>
      </c>
      <c r="R173" s="257">
        <v>29.9</v>
      </c>
      <c r="S173" s="257">
        <v>2.6</v>
      </c>
      <c r="T173" s="257" t="s">
        <v>296</v>
      </c>
      <c r="U173" s="257">
        <v>13</v>
      </c>
      <c r="V173" s="257">
        <v>2.8</v>
      </c>
      <c r="W173" s="257">
        <v>2.9</v>
      </c>
      <c r="X173" s="257" t="s">
        <v>381</v>
      </c>
      <c r="Y173" s="257">
        <v>31</v>
      </c>
      <c r="Z173" s="257">
        <v>3.7</v>
      </c>
      <c r="AA173" s="257" t="s">
        <v>381</v>
      </c>
      <c r="AB173" s="257">
        <v>20</v>
      </c>
      <c r="AC173" s="257">
        <v>37</v>
      </c>
      <c r="AD173" s="257" t="s">
        <v>577</v>
      </c>
      <c r="AE173" s="257">
        <v>1016.9</v>
      </c>
      <c r="AF173" s="257">
        <v>1002.6</v>
      </c>
      <c r="AG173" s="257">
        <v>0</v>
      </c>
      <c r="AH173" s="257" t="s">
        <v>577</v>
      </c>
      <c r="AI173" s="257" t="s">
        <v>577</v>
      </c>
      <c r="AJ173" s="257">
        <v>0</v>
      </c>
      <c r="AK173" s="257" t="s">
        <v>577</v>
      </c>
      <c r="AL173" s="257" t="s">
        <v>577</v>
      </c>
      <c r="AM173" s="257">
        <v>37.5</v>
      </c>
      <c r="AN173" s="270">
        <v>2.2</v>
      </c>
    </row>
    <row r="174" ht="20.2" customHeight="1" spans="1:40">
      <c r="A174" s="375"/>
      <c r="B174" s="255">
        <v>6</v>
      </c>
      <c r="C174" s="253" t="s">
        <v>1278</v>
      </c>
      <c r="D174" s="255" t="s">
        <v>1279</v>
      </c>
      <c r="E174" s="257" t="s">
        <v>1280</v>
      </c>
      <c r="F174" s="257" t="s">
        <v>1281</v>
      </c>
      <c r="G174" s="257">
        <v>18.2</v>
      </c>
      <c r="H174" s="257" t="s">
        <v>47</v>
      </c>
      <c r="I174" s="257">
        <v>22.6</v>
      </c>
      <c r="J174" s="257">
        <v>9.2</v>
      </c>
      <c r="K174" s="257">
        <v>14.9</v>
      </c>
      <c r="L174" s="257">
        <v>6</v>
      </c>
      <c r="M174" s="257">
        <v>72</v>
      </c>
      <c r="N174" s="257">
        <v>33.7</v>
      </c>
      <c r="O174" s="257">
        <v>27.5</v>
      </c>
      <c r="P174" s="257">
        <v>31.2</v>
      </c>
      <c r="Q174" s="257">
        <v>70</v>
      </c>
      <c r="R174" s="257">
        <v>30.5</v>
      </c>
      <c r="S174" s="257">
        <v>2.2</v>
      </c>
      <c r="T174" s="257" t="s">
        <v>636</v>
      </c>
      <c r="U174" s="257" t="s">
        <v>870</v>
      </c>
      <c r="V174" s="257">
        <v>2.7</v>
      </c>
      <c r="W174" s="257">
        <v>2.8</v>
      </c>
      <c r="X174" s="257" t="s">
        <v>381</v>
      </c>
      <c r="Y174" s="257">
        <v>20</v>
      </c>
      <c r="Z174" s="257">
        <v>2.9</v>
      </c>
      <c r="AA174" s="257" t="s">
        <v>387</v>
      </c>
      <c r="AB174" s="257">
        <v>14</v>
      </c>
      <c r="AC174" s="257">
        <v>43</v>
      </c>
      <c r="AD174" s="257" t="s">
        <v>577</v>
      </c>
      <c r="AE174" s="257">
        <v>1016.6</v>
      </c>
      <c r="AF174" s="257">
        <v>1002.4</v>
      </c>
      <c r="AG174" s="257">
        <v>0</v>
      </c>
      <c r="AH174" s="257" t="s">
        <v>577</v>
      </c>
      <c r="AI174" s="257" t="s">
        <v>577</v>
      </c>
      <c r="AJ174" s="257">
        <v>0</v>
      </c>
      <c r="AK174" s="257" t="s">
        <v>577</v>
      </c>
      <c r="AL174" s="257" t="s">
        <v>577</v>
      </c>
      <c r="AM174" s="257">
        <v>38.7</v>
      </c>
      <c r="AN174" s="270">
        <v>1.7</v>
      </c>
    </row>
    <row r="175" ht="20.2" customHeight="1" spans="1:40">
      <c r="A175" s="375"/>
      <c r="B175" s="255">
        <v>7</v>
      </c>
      <c r="C175" s="253" t="s">
        <v>1282</v>
      </c>
      <c r="D175" s="255" t="s">
        <v>1283</v>
      </c>
      <c r="E175" s="257" t="s">
        <v>1284</v>
      </c>
      <c r="F175" s="257" t="s">
        <v>1285</v>
      </c>
      <c r="G175" s="257">
        <v>32.7</v>
      </c>
      <c r="H175" s="257" t="s">
        <v>47</v>
      </c>
      <c r="I175" s="257">
        <v>22</v>
      </c>
      <c r="J175" s="257">
        <v>8</v>
      </c>
      <c r="K175" s="257">
        <v>13.9</v>
      </c>
      <c r="L175" s="257">
        <v>5.2</v>
      </c>
      <c r="M175" s="257">
        <v>75</v>
      </c>
      <c r="N175" s="257">
        <v>33.6</v>
      </c>
      <c r="O175" s="257">
        <v>27.6</v>
      </c>
      <c r="P175" s="257">
        <v>31</v>
      </c>
      <c r="Q175" s="257">
        <v>71</v>
      </c>
      <c r="R175" s="257">
        <v>29.9</v>
      </c>
      <c r="S175" s="257">
        <v>2</v>
      </c>
      <c r="T175" s="257" t="s">
        <v>296</v>
      </c>
      <c r="U175" s="257">
        <v>23</v>
      </c>
      <c r="V175" s="257">
        <v>2.7</v>
      </c>
      <c r="W175" s="257">
        <v>2.6</v>
      </c>
      <c r="X175" s="257" t="s">
        <v>262</v>
      </c>
      <c r="Y175" s="257">
        <v>30</v>
      </c>
      <c r="Z175" s="257">
        <v>3.9</v>
      </c>
      <c r="AA175" s="257" t="s">
        <v>855</v>
      </c>
      <c r="AB175" s="257" t="s">
        <v>718</v>
      </c>
      <c r="AC175" s="257">
        <v>38</v>
      </c>
      <c r="AD175" s="257" t="s">
        <v>577</v>
      </c>
      <c r="AE175" s="257">
        <v>1016.3</v>
      </c>
      <c r="AF175" s="257">
        <v>1001.8</v>
      </c>
      <c r="AG175" s="257">
        <v>0</v>
      </c>
      <c r="AH175" s="257" t="s">
        <v>577</v>
      </c>
      <c r="AI175" s="257" t="s">
        <v>577</v>
      </c>
      <c r="AJ175" s="257">
        <v>0</v>
      </c>
      <c r="AK175" s="257" t="s">
        <v>577</v>
      </c>
      <c r="AL175" s="257" t="s">
        <v>577</v>
      </c>
      <c r="AM175" s="257">
        <v>37.3</v>
      </c>
      <c r="AN175" s="270">
        <v>1.6</v>
      </c>
    </row>
    <row r="176" ht="20.2" customHeight="1" spans="1:40">
      <c r="A176" s="375"/>
      <c r="B176" s="255">
        <v>8</v>
      </c>
      <c r="C176" s="253" t="s">
        <v>1286</v>
      </c>
      <c r="D176" s="255" t="s">
        <v>1287</v>
      </c>
      <c r="E176" s="257" t="s">
        <v>1288</v>
      </c>
      <c r="F176" s="257" t="s">
        <v>1289</v>
      </c>
      <c r="G176" s="257">
        <v>84.6</v>
      </c>
      <c r="H176" s="257" t="s">
        <v>47</v>
      </c>
      <c r="I176" s="257">
        <v>22.5</v>
      </c>
      <c r="J176" s="257">
        <v>8.5</v>
      </c>
      <c r="K176" s="257">
        <v>14.7</v>
      </c>
      <c r="L176" s="257">
        <v>6</v>
      </c>
      <c r="M176" s="257">
        <v>74</v>
      </c>
      <c r="N176" s="257">
        <v>34.3</v>
      </c>
      <c r="O176" s="257">
        <v>27.6</v>
      </c>
      <c r="P176" s="257">
        <v>32</v>
      </c>
      <c r="Q176" s="257">
        <v>66</v>
      </c>
      <c r="R176" s="257">
        <v>30.1</v>
      </c>
      <c r="S176" s="257">
        <v>1.5</v>
      </c>
      <c r="T176" s="257" t="s">
        <v>52</v>
      </c>
      <c r="U176" s="257" t="s">
        <v>1290</v>
      </c>
      <c r="V176" s="257">
        <v>2.5</v>
      </c>
      <c r="W176" s="257">
        <v>2.9</v>
      </c>
      <c r="X176" s="257" t="s">
        <v>262</v>
      </c>
      <c r="Y176" s="257">
        <v>26</v>
      </c>
      <c r="Z176" s="257">
        <v>4.1</v>
      </c>
      <c r="AA176" s="257" t="s">
        <v>855</v>
      </c>
      <c r="AB176" s="257" t="s">
        <v>585</v>
      </c>
      <c r="AC176" s="257">
        <v>36</v>
      </c>
      <c r="AD176" s="257" t="s">
        <v>577</v>
      </c>
      <c r="AE176" s="257">
        <v>1009.3</v>
      </c>
      <c r="AF176" s="257">
        <v>995.2</v>
      </c>
      <c r="AG176" s="257">
        <v>0</v>
      </c>
      <c r="AH176" s="257" t="s">
        <v>577</v>
      </c>
      <c r="AI176" s="257" t="s">
        <v>577</v>
      </c>
      <c r="AJ176" s="257">
        <v>0</v>
      </c>
      <c r="AK176" s="257" t="s">
        <v>577</v>
      </c>
      <c r="AL176" s="257" t="s">
        <v>577</v>
      </c>
      <c r="AM176" s="257">
        <v>37.8</v>
      </c>
      <c r="AN176" s="270">
        <v>1</v>
      </c>
    </row>
    <row r="177" ht="20.2" customHeight="1" spans="1:40">
      <c r="A177" s="375"/>
      <c r="B177" s="255">
        <v>9</v>
      </c>
      <c r="C177" s="253" t="s">
        <v>1291</v>
      </c>
      <c r="D177" s="255" t="s">
        <v>1292</v>
      </c>
      <c r="E177" s="257" t="s">
        <v>1293</v>
      </c>
      <c r="F177" s="257" t="s">
        <v>227</v>
      </c>
      <c r="G177" s="257">
        <v>41</v>
      </c>
      <c r="H177" s="257" t="s">
        <v>47</v>
      </c>
      <c r="I177" s="257">
        <v>22.3</v>
      </c>
      <c r="J177" s="257">
        <v>8.4</v>
      </c>
      <c r="K177" s="257">
        <v>13.9</v>
      </c>
      <c r="L177" s="257">
        <v>6</v>
      </c>
      <c r="M177" s="257">
        <v>68</v>
      </c>
      <c r="N177" s="257">
        <v>34.6</v>
      </c>
      <c r="O177" s="257">
        <v>27.8</v>
      </c>
      <c r="P177" s="257">
        <v>32.1</v>
      </c>
      <c r="Q177" s="257">
        <v>74</v>
      </c>
      <c r="R177" s="257">
        <v>31.1</v>
      </c>
      <c r="S177" s="257">
        <v>1.6</v>
      </c>
      <c r="T177" s="257" t="s">
        <v>673</v>
      </c>
      <c r="U177" s="257" t="s">
        <v>1294</v>
      </c>
      <c r="V177" s="257">
        <v>2</v>
      </c>
      <c r="W177" s="257">
        <v>1.7</v>
      </c>
      <c r="X177" s="257" t="s">
        <v>395</v>
      </c>
      <c r="Y177" s="257" t="s">
        <v>1295</v>
      </c>
      <c r="Z177" s="257">
        <v>2.6</v>
      </c>
      <c r="AA177" s="257" t="s">
        <v>395</v>
      </c>
      <c r="AB177" s="257" t="s">
        <v>1194</v>
      </c>
      <c r="AC177" s="257">
        <v>35</v>
      </c>
      <c r="AD177" s="257" t="s">
        <v>577</v>
      </c>
      <c r="AE177" s="257">
        <v>1019</v>
      </c>
      <c r="AF177" s="257">
        <v>1003.7</v>
      </c>
      <c r="AG177" s="257">
        <v>0</v>
      </c>
      <c r="AH177" s="257" t="s">
        <v>577</v>
      </c>
      <c r="AI177" s="257" t="s">
        <v>577</v>
      </c>
      <c r="AJ177" s="257">
        <v>0</v>
      </c>
      <c r="AK177" s="257" t="s">
        <v>577</v>
      </c>
      <c r="AL177" s="257" t="s">
        <v>577</v>
      </c>
      <c r="AM177" s="257">
        <v>38.7</v>
      </c>
      <c r="AN177" s="270">
        <v>1</v>
      </c>
    </row>
    <row r="178" ht="20.2" customHeight="1" spans="1:40">
      <c r="A178" s="375"/>
      <c r="B178" s="255">
        <v>10</v>
      </c>
      <c r="C178" s="253" t="s">
        <v>1296</v>
      </c>
      <c r="D178" s="255" t="s">
        <v>1297</v>
      </c>
      <c r="E178" s="257" t="s">
        <v>1298</v>
      </c>
      <c r="F178" s="257" t="s">
        <v>78</v>
      </c>
      <c r="G178" s="257">
        <v>22.4</v>
      </c>
      <c r="H178" s="257" t="s">
        <v>47</v>
      </c>
      <c r="I178" s="257">
        <v>21.9</v>
      </c>
      <c r="J178" s="257">
        <v>8</v>
      </c>
      <c r="K178" s="257">
        <v>13.7</v>
      </c>
      <c r="L178" s="257">
        <v>4.8</v>
      </c>
      <c r="M178" s="257">
        <v>71</v>
      </c>
      <c r="N178" s="257">
        <v>34.1</v>
      </c>
      <c r="O178" s="257">
        <v>27.6</v>
      </c>
      <c r="P178" s="257">
        <v>31.5</v>
      </c>
      <c r="Q178" s="257">
        <v>69</v>
      </c>
      <c r="R178" s="257">
        <v>30.4</v>
      </c>
      <c r="S178" s="257">
        <v>1.6</v>
      </c>
      <c r="T178" s="257" t="s">
        <v>845</v>
      </c>
      <c r="U178" s="257" t="s">
        <v>247</v>
      </c>
      <c r="V178" s="257">
        <v>2</v>
      </c>
      <c r="W178" s="257">
        <v>2.7</v>
      </c>
      <c r="X178" s="257" t="s">
        <v>262</v>
      </c>
      <c r="Y178" s="257">
        <v>29</v>
      </c>
      <c r="Z178" s="257">
        <v>4.6</v>
      </c>
      <c r="AA178" s="257" t="s">
        <v>855</v>
      </c>
      <c r="AB178" s="257" t="s">
        <v>1299</v>
      </c>
      <c r="AC178" s="257">
        <v>42</v>
      </c>
      <c r="AD178" s="257" t="s">
        <v>577</v>
      </c>
      <c r="AE178" s="257">
        <v>1017.9</v>
      </c>
      <c r="AF178" s="257">
        <v>1003.2</v>
      </c>
      <c r="AG178" s="257">
        <v>0</v>
      </c>
      <c r="AH178" s="257" t="s">
        <v>577</v>
      </c>
      <c r="AI178" s="257" t="s">
        <v>577</v>
      </c>
      <c r="AJ178" s="257">
        <v>0</v>
      </c>
      <c r="AK178" s="257" t="s">
        <v>577</v>
      </c>
      <c r="AL178" s="257" t="s">
        <v>577</v>
      </c>
      <c r="AM178" s="257">
        <v>38.2</v>
      </c>
      <c r="AN178" s="270">
        <v>0.5</v>
      </c>
    </row>
    <row r="179" ht="20.2" customHeight="1" spans="1:40">
      <c r="A179" s="375"/>
      <c r="B179" s="255">
        <v>11</v>
      </c>
      <c r="C179" s="253" t="s">
        <v>1300</v>
      </c>
      <c r="D179" s="255" t="s">
        <v>1301</v>
      </c>
      <c r="E179" s="257" t="s">
        <v>1302</v>
      </c>
      <c r="F179" s="257" t="s">
        <v>1303</v>
      </c>
      <c r="G179" s="257">
        <v>87.8</v>
      </c>
      <c r="H179" s="257" t="s">
        <v>47</v>
      </c>
      <c r="I179" s="257">
        <v>21.3</v>
      </c>
      <c r="J179" s="257">
        <v>6.7</v>
      </c>
      <c r="K179" s="257">
        <v>12.4</v>
      </c>
      <c r="L179" s="257">
        <v>4.3</v>
      </c>
      <c r="M179" s="257">
        <v>77</v>
      </c>
      <c r="N179" s="257">
        <v>35.1</v>
      </c>
      <c r="O179" s="257">
        <v>27.2</v>
      </c>
      <c r="P179" s="257">
        <v>32.7</v>
      </c>
      <c r="Q179" s="257">
        <v>60</v>
      </c>
      <c r="R179" s="257">
        <v>30.6</v>
      </c>
      <c r="S179" s="257">
        <v>1.2</v>
      </c>
      <c r="T179" s="257" t="s">
        <v>52</v>
      </c>
      <c r="U179" s="257" t="s">
        <v>269</v>
      </c>
      <c r="V179" s="257">
        <v>2.1</v>
      </c>
      <c r="W179" s="257">
        <v>1</v>
      </c>
      <c r="X179" s="257" t="s">
        <v>188</v>
      </c>
      <c r="Y179" s="257" t="s">
        <v>1304</v>
      </c>
      <c r="Z179" s="257">
        <v>2.4</v>
      </c>
      <c r="AA179" s="257" t="s">
        <v>188</v>
      </c>
      <c r="AB179" s="257" t="s">
        <v>1305</v>
      </c>
      <c r="AC179" s="257">
        <v>39</v>
      </c>
      <c r="AD179" s="257" t="s">
        <v>577</v>
      </c>
      <c r="AE179" s="257">
        <v>1011.3</v>
      </c>
      <c r="AF179" s="257">
        <v>996.3</v>
      </c>
      <c r="AG179" s="257">
        <v>0</v>
      </c>
      <c r="AH179" s="257" t="s">
        <v>577</v>
      </c>
      <c r="AI179" s="257" t="s">
        <v>577</v>
      </c>
      <c r="AJ179" s="257">
        <v>0</v>
      </c>
      <c r="AK179" s="257" t="s">
        <v>577</v>
      </c>
      <c r="AL179" s="257"/>
      <c r="AM179" s="257">
        <v>39.5</v>
      </c>
      <c r="AN179" s="270">
        <v>-3.3</v>
      </c>
    </row>
    <row r="180" ht="20.2" customHeight="1" spans="1:40">
      <c r="A180" s="375"/>
      <c r="B180" s="255">
        <v>12</v>
      </c>
      <c r="C180" s="253" t="s">
        <v>1306</v>
      </c>
      <c r="D180" s="255" t="s">
        <v>1307</v>
      </c>
      <c r="E180" s="257" t="s">
        <v>1308</v>
      </c>
      <c r="F180" s="257" t="s">
        <v>1309</v>
      </c>
      <c r="G180" s="257">
        <v>17.3</v>
      </c>
      <c r="H180" s="257" t="s">
        <v>47</v>
      </c>
      <c r="I180" s="257">
        <v>22.2</v>
      </c>
      <c r="J180" s="257">
        <v>10.3</v>
      </c>
      <c r="K180" s="257">
        <v>14.8</v>
      </c>
      <c r="L180" s="257">
        <v>7.3</v>
      </c>
      <c r="M180" s="257">
        <v>73</v>
      </c>
      <c r="N180" s="257">
        <v>32.2</v>
      </c>
      <c r="O180" s="257">
        <v>27.8</v>
      </c>
      <c r="P180" s="257">
        <v>30.2</v>
      </c>
      <c r="Q180" s="257">
        <v>77</v>
      </c>
      <c r="R180" s="257">
        <v>29.6</v>
      </c>
      <c r="S180" s="257">
        <v>3.2</v>
      </c>
      <c r="T180" s="257" t="s">
        <v>309</v>
      </c>
      <c r="U180" s="257">
        <v>19</v>
      </c>
      <c r="V180" s="257">
        <v>4.1</v>
      </c>
      <c r="W180" s="257">
        <v>3</v>
      </c>
      <c r="X180" s="257" t="s">
        <v>381</v>
      </c>
      <c r="Y180" s="257">
        <v>19</v>
      </c>
      <c r="Z180" s="257">
        <v>3</v>
      </c>
      <c r="AA180" s="257" t="s">
        <v>381</v>
      </c>
      <c r="AB180" s="257">
        <v>15</v>
      </c>
      <c r="AC180" s="257">
        <v>42</v>
      </c>
      <c r="AD180" s="257" t="s">
        <v>577</v>
      </c>
      <c r="AE180" s="257">
        <v>1019.3</v>
      </c>
      <c r="AF180" s="257">
        <v>1005.3</v>
      </c>
      <c r="AG180" s="257">
        <v>0</v>
      </c>
      <c r="AH180" s="257" t="s">
        <v>577</v>
      </c>
      <c r="AI180" s="257" t="s">
        <v>577</v>
      </c>
      <c r="AJ180" s="257">
        <v>0</v>
      </c>
      <c r="AK180" s="257" t="s">
        <v>577</v>
      </c>
      <c r="AL180" s="257" t="s">
        <v>577</v>
      </c>
      <c r="AM180" s="257">
        <v>38.5</v>
      </c>
      <c r="AN180" s="270">
        <v>2.1</v>
      </c>
    </row>
    <row r="181" ht="20.2" customHeight="1" spans="1:40">
      <c r="A181" s="375"/>
      <c r="B181" s="255">
        <v>13</v>
      </c>
      <c r="C181" s="253" t="s">
        <v>1310</v>
      </c>
      <c r="D181" s="255" t="s">
        <v>1311</v>
      </c>
      <c r="E181" s="257" t="s">
        <v>1312</v>
      </c>
      <c r="F181" s="257" t="s">
        <v>1313</v>
      </c>
      <c r="G181" s="257">
        <v>40.6</v>
      </c>
      <c r="H181" s="257" t="s">
        <v>47</v>
      </c>
      <c r="I181" s="257">
        <v>21.5</v>
      </c>
      <c r="J181" s="257">
        <v>6.9</v>
      </c>
      <c r="K181" s="257">
        <v>12.7</v>
      </c>
      <c r="L181" s="257">
        <v>3.9</v>
      </c>
      <c r="M181" s="257">
        <v>70</v>
      </c>
      <c r="N181" s="257">
        <v>34.5</v>
      </c>
      <c r="O181" s="257">
        <v>27.5</v>
      </c>
      <c r="P181" s="257">
        <v>32.1</v>
      </c>
      <c r="Q181" s="257">
        <v>65</v>
      </c>
      <c r="R181" s="257">
        <v>30.4</v>
      </c>
      <c r="S181" s="257">
        <v>1.3</v>
      </c>
      <c r="T181" s="257" t="s">
        <v>104</v>
      </c>
      <c r="U181" s="257" t="s">
        <v>1314</v>
      </c>
      <c r="V181" s="257">
        <v>2.2</v>
      </c>
      <c r="W181" s="257">
        <v>1.5</v>
      </c>
      <c r="X181" s="257" t="s">
        <v>188</v>
      </c>
      <c r="Y181" s="257" t="s">
        <v>1315</v>
      </c>
      <c r="Z181" s="257">
        <v>2.4</v>
      </c>
      <c r="AA181" s="257" t="s">
        <v>188</v>
      </c>
      <c r="AB181" s="257" t="s">
        <v>1316</v>
      </c>
      <c r="AC181" s="257">
        <v>41</v>
      </c>
      <c r="AD181" s="257" t="s">
        <v>577</v>
      </c>
      <c r="AE181" s="257">
        <v>1016.3</v>
      </c>
      <c r="AF181" s="257">
        <v>1000.9</v>
      </c>
      <c r="AG181" s="257">
        <v>0</v>
      </c>
      <c r="AH181" s="257" t="s">
        <v>577</v>
      </c>
      <c r="AI181" s="257" t="s">
        <v>577</v>
      </c>
      <c r="AJ181" s="257">
        <v>0</v>
      </c>
      <c r="AK181" s="257" t="s">
        <v>577</v>
      </c>
      <c r="AL181" s="257" t="s">
        <v>577</v>
      </c>
      <c r="AM181" s="257">
        <v>39</v>
      </c>
      <c r="AN181" s="270">
        <v>-0.7</v>
      </c>
    </row>
    <row r="182" ht="20.2" customHeight="1" spans="1:40">
      <c r="A182" s="375"/>
      <c r="B182" s="255">
        <v>14</v>
      </c>
      <c r="C182" s="253" t="s">
        <v>1317</v>
      </c>
      <c r="D182" s="255" t="s">
        <v>1318</v>
      </c>
      <c r="E182" s="257" t="s">
        <v>1319</v>
      </c>
      <c r="F182" s="257" t="s">
        <v>1320</v>
      </c>
      <c r="G182" s="257">
        <v>98.3</v>
      </c>
      <c r="H182" s="257" t="s">
        <v>47</v>
      </c>
      <c r="I182" s="257">
        <v>19.6</v>
      </c>
      <c r="J182" s="257">
        <v>4</v>
      </c>
      <c r="K182" s="257">
        <v>9.1</v>
      </c>
      <c r="L182" s="257">
        <v>1.8</v>
      </c>
      <c r="M182" s="257">
        <v>77</v>
      </c>
      <c r="N182" s="257">
        <v>35.1</v>
      </c>
      <c r="O182" s="257">
        <v>27.4</v>
      </c>
      <c r="P182" s="257">
        <v>32.7</v>
      </c>
      <c r="Q182" s="257">
        <v>61</v>
      </c>
      <c r="R182" s="257">
        <v>30.6</v>
      </c>
      <c r="S182" s="257">
        <v>1.2</v>
      </c>
      <c r="T182" s="257" t="s">
        <v>104</v>
      </c>
      <c r="U182" s="257" t="s">
        <v>1321</v>
      </c>
      <c r="V182" s="257">
        <v>2.5</v>
      </c>
      <c r="W182" s="257">
        <v>1.3</v>
      </c>
      <c r="X182" s="257" t="s">
        <v>188</v>
      </c>
      <c r="Y182" s="257" t="s">
        <v>1322</v>
      </c>
      <c r="Z182" s="257">
        <v>2.3</v>
      </c>
      <c r="AA182" s="257" t="s">
        <v>188</v>
      </c>
      <c r="AB182" s="257" t="s">
        <v>1323</v>
      </c>
      <c r="AC182" s="257">
        <v>25</v>
      </c>
      <c r="AD182" s="257" t="s">
        <v>577</v>
      </c>
      <c r="AE182" s="257">
        <v>1011.1</v>
      </c>
      <c r="AF182" s="257">
        <v>993.8</v>
      </c>
      <c r="AG182" s="257">
        <v>0</v>
      </c>
      <c r="AH182" s="257" t="s">
        <v>577</v>
      </c>
      <c r="AI182" s="257" t="s">
        <v>577</v>
      </c>
      <c r="AJ182" s="257">
        <v>0</v>
      </c>
      <c r="AK182" s="257" t="s">
        <v>577</v>
      </c>
      <c r="AL182" s="257" t="s">
        <v>577</v>
      </c>
      <c r="AM182" s="257">
        <v>39.6</v>
      </c>
      <c r="AN182" s="270">
        <v>-3.4</v>
      </c>
    </row>
    <row r="183" s="301" customFormat="1" ht="20.2" customHeight="1" spans="1:40">
      <c r="A183" s="375"/>
      <c r="B183" s="404">
        <v>15</v>
      </c>
      <c r="C183" s="405" t="s">
        <v>1324</v>
      </c>
      <c r="D183" s="404" t="s">
        <v>1325</v>
      </c>
      <c r="E183" s="404" t="s">
        <v>1293</v>
      </c>
      <c r="F183" s="404" t="s">
        <v>1326</v>
      </c>
      <c r="G183" s="404">
        <v>12.9</v>
      </c>
      <c r="H183" s="404" t="s">
        <v>47</v>
      </c>
      <c r="I183" s="404">
        <v>21.9</v>
      </c>
      <c r="J183" s="404">
        <v>10.3</v>
      </c>
      <c r="K183" s="404">
        <v>14.5</v>
      </c>
      <c r="L183" s="404">
        <v>8</v>
      </c>
      <c r="M183" s="404">
        <v>74</v>
      </c>
      <c r="N183" s="404">
        <v>32.8</v>
      </c>
      <c r="O183" s="404">
        <v>27.6</v>
      </c>
      <c r="P183" s="404">
        <v>30.7</v>
      </c>
      <c r="Q183" s="404">
        <v>74</v>
      </c>
      <c r="R183" s="404">
        <v>29.6</v>
      </c>
      <c r="S183" s="404">
        <v>2.3</v>
      </c>
      <c r="T183" s="404" t="s">
        <v>104</v>
      </c>
      <c r="U183" s="404" t="s">
        <v>1327</v>
      </c>
      <c r="V183" s="404">
        <v>3.4</v>
      </c>
      <c r="W183" s="404">
        <v>2.9</v>
      </c>
      <c r="X183" s="404" t="s">
        <v>381</v>
      </c>
      <c r="Y183" s="404">
        <v>28</v>
      </c>
      <c r="Z183" s="404">
        <v>3.4</v>
      </c>
      <c r="AA183" s="404" t="s">
        <v>381</v>
      </c>
      <c r="AB183" s="404">
        <v>20</v>
      </c>
      <c r="AC183" s="404">
        <v>43</v>
      </c>
      <c r="AD183" s="404" t="s">
        <v>577</v>
      </c>
      <c r="AE183" s="404">
        <v>1018.7</v>
      </c>
      <c r="AF183" s="404">
        <v>1004.6</v>
      </c>
      <c r="AG183" s="404">
        <v>0</v>
      </c>
      <c r="AH183" s="404" t="s">
        <v>577</v>
      </c>
      <c r="AI183" s="404" t="s">
        <v>577</v>
      </c>
      <c r="AJ183" s="404">
        <v>0</v>
      </c>
      <c r="AK183" s="404" t="s">
        <v>577</v>
      </c>
      <c r="AL183" s="404" t="s">
        <v>577</v>
      </c>
      <c r="AM183" s="404">
        <v>38.4</v>
      </c>
      <c r="AN183" s="406">
        <v>1.5</v>
      </c>
    </row>
    <row r="184" s="299" customFormat="1" ht="20.2" customHeight="1" spans="1:40">
      <c r="A184" s="448" t="s">
        <v>1328</v>
      </c>
      <c r="B184" s="394">
        <v>1</v>
      </c>
      <c r="C184" s="394" t="s">
        <v>1329</v>
      </c>
      <c r="D184" s="393" t="s">
        <v>1330</v>
      </c>
      <c r="E184" s="393" t="s">
        <v>1331</v>
      </c>
      <c r="F184" s="393" t="s">
        <v>1332</v>
      </c>
      <c r="G184" s="393">
        <v>73.1</v>
      </c>
      <c r="H184" s="393" t="s">
        <v>47</v>
      </c>
      <c r="I184" s="393">
        <v>21.8</v>
      </c>
      <c r="J184" s="393">
        <v>7.6</v>
      </c>
      <c r="K184" s="393">
        <v>12.9</v>
      </c>
      <c r="L184" s="393">
        <v>5.7</v>
      </c>
      <c r="M184" s="393">
        <v>78</v>
      </c>
      <c r="N184" s="393">
        <v>34.5</v>
      </c>
      <c r="O184" s="393">
        <v>27.9</v>
      </c>
      <c r="P184" s="393">
        <v>31.8</v>
      </c>
      <c r="Q184" s="393">
        <v>68</v>
      </c>
      <c r="R184" s="393">
        <v>30.7</v>
      </c>
      <c r="S184" s="393">
        <v>1.5</v>
      </c>
      <c r="T184" s="393" t="s">
        <v>694</v>
      </c>
      <c r="U184" s="393" t="s">
        <v>830</v>
      </c>
      <c r="V184" s="393">
        <v>2.6</v>
      </c>
      <c r="W184" s="393">
        <v>1.2</v>
      </c>
      <c r="X184" s="393" t="s">
        <v>731</v>
      </c>
      <c r="Y184" s="393" t="s">
        <v>1333</v>
      </c>
      <c r="Z184" s="393">
        <v>1.9</v>
      </c>
      <c r="AA184" s="393" t="s">
        <v>731</v>
      </c>
      <c r="AB184" s="393" t="s">
        <v>1334</v>
      </c>
      <c r="AC184" s="393">
        <v>25</v>
      </c>
      <c r="AD184" s="393" t="s">
        <v>577</v>
      </c>
      <c r="AE184" s="393">
        <v>1011</v>
      </c>
      <c r="AF184" s="393">
        <v>995.5</v>
      </c>
      <c r="AG184" s="393">
        <v>0</v>
      </c>
      <c r="AH184" s="393" t="s">
        <v>577</v>
      </c>
      <c r="AI184" s="393" t="s">
        <v>577</v>
      </c>
      <c r="AJ184" s="393">
        <v>0</v>
      </c>
      <c r="AK184" s="393" t="s">
        <v>577</v>
      </c>
      <c r="AL184" s="393" t="s">
        <v>577</v>
      </c>
      <c r="AM184" s="393">
        <v>39</v>
      </c>
      <c r="AN184" s="395">
        <v>1.9</v>
      </c>
    </row>
    <row r="185" ht="20.2" customHeight="1" spans="1:40">
      <c r="A185" s="449"/>
      <c r="B185" s="253">
        <v>2</v>
      </c>
      <c r="C185" s="253" t="s">
        <v>1335</v>
      </c>
      <c r="D185" s="255" t="s">
        <v>1336</v>
      </c>
      <c r="E185" s="257" t="s">
        <v>1337</v>
      </c>
      <c r="F185" s="257" t="s">
        <v>1338</v>
      </c>
      <c r="G185" s="257">
        <v>96.8</v>
      </c>
      <c r="H185" s="257" t="s">
        <v>47</v>
      </c>
      <c r="I185" s="257">
        <v>20.7</v>
      </c>
      <c r="J185" s="257">
        <v>5.1</v>
      </c>
      <c r="K185" s="257">
        <v>10.4</v>
      </c>
      <c r="L185" s="257">
        <v>3</v>
      </c>
      <c r="M185" s="257">
        <v>75</v>
      </c>
      <c r="N185" s="257">
        <v>34.8</v>
      </c>
      <c r="O185" s="257">
        <v>27.5</v>
      </c>
      <c r="P185" s="257">
        <v>32.4</v>
      </c>
      <c r="Q185" s="257">
        <v>65</v>
      </c>
      <c r="R185" s="257">
        <v>31.4</v>
      </c>
      <c r="S185" s="257">
        <v>1.6</v>
      </c>
      <c r="T185" s="257" t="s">
        <v>104</v>
      </c>
      <c r="U185" s="257" t="s">
        <v>1339</v>
      </c>
      <c r="V185" s="257">
        <v>2.8</v>
      </c>
      <c r="W185" s="257">
        <v>1.5</v>
      </c>
      <c r="X185" s="257" t="s">
        <v>414</v>
      </c>
      <c r="Y185" s="257" t="s">
        <v>1340</v>
      </c>
      <c r="Z185" s="257">
        <v>2.7</v>
      </c>
      <c r="AA185" s="257" t="s">
        <v>50</v>
      </c>
      <c r="AB185" s="257" t="s">
        <v>1341</v>
      </c>
      <c r="AC185" s="257">
        <v>24</v>
      </c>
      <c r="AD185" s="257" t="s">
        <v>577</v>
      </c>
      <c r="AE185" s="257">
        <v>1009.9</v>
      </c>
      <c r="AF185" s="257">
        <v>993.2</v>
      </c>
      <c r="AG185" s="257">
        <v>0</v>
      </c>
      <c r="AH185" s="257" t="s">
        <v>577</v>
      </c>
      <c r="AI185" s="257" t="s">
        <v>577</v>
      </c>
      <c r="AJ185" s="257">
        <v>0</v>
      </c>
      <c r="AK185" s="257" t="s">
        <v>577</v>
      </c>
      <c r="AL185" s="257" t="s">
        <v>577</v>
      </c>
      <c r="AM185" s="257">
        <v>39.1</v>
      </c>
      <c r="AN185" s="270">
        <v>-1.3</v>
      </c>
    </row>
    <row r="186" ht="20.2" customHeight="1" spans="1:40">
      <c r="A186" s="449"/>
      <c r="B186" s="450">
        <v>3</v>
      </c>
      <c r="C186" s="253" t="s">
        <v>1342</v>
      </c>
      <c r="D186" s="255" t="s">
        <v>1343</v>
      </c>
      <c r="E186" s="257" t="s">
        <v>1344</v>
      </c>
      <c r="F186" s="257" t="s">
        <v>1345</v>
      </c>
      <c r="G186" s="257">
        <v>464.4</v>
      </c>
      <c r="H186" s="257" t="s">
        <v>47</v>
      </c>
      <c r="I186" s="257">
        <v>18.9</v>
      </c>
      <c r="J186" s="257">
        <v>3</v>
      </c>
      <c r="K186" s="257">
        <v>7.9</v>
      </c>
      <c r="L186" s="257">
        <v>1.1</v>
      </c>
      <c r="M186" s="257">
        <v>74</v>
      </c>
      <c r="N186" s="257">
        <v>34.2</v>
      </c>
      <c r="O186" s="257">
        <v>27.3</v>
      </c>
      <c r="P186" s="257">
        <v>31.7</v>
      </c>
      <c r="Q186" s="257">
        <v>65</v>
      </c>
      <c r="R186" s="257">
        <v>30.4</v>
      </c>
      <c r="S186" s="257">
        <v>1.6</v>
      </c>
      <c r="T186" s="257" t="s">
        <v>855</v>
      </c>
      <c r="U186" s="257" t="s">
        <v>1346</v>
      </c>
      <c r="V186" s="257">
        <v>2.6</v>
      </c>
      <c r="W186" s="257">
        <v>3.2</v>
      </c>
      <c r="X186" s="257" t="s">
        <v>262</v>
      </c>
      <c r="Y186" s="257">
        <v>48</v>
      </c>
      <c r="Z186" s="257">
        <v>4.4</v>
      </c>
      <c r="AA186" s="257" t="s">
        <v>262</v>
      </c>
      <c r="AB186" s="257">
        <v>35</v>
      </c>
      <c r="AC186" s="257">
        <v>24</v>
      </c>
      <c r="AD186" s="257" t="s">
        <v>577</v>
      </c>
      <c r="AE186" s="257">
        <v>1003</v>
      </c>
      <c r="AF186" s="257">
        <v>986.1</v>
      </c>
      <c r="AG186" s="257">
        <v>0</v>
      </c>
      <c r="AH186" s="257" t="s">
        <v>577</v>
      </c>
      <c r="AI186" s="257" t="s">
        <v>577</v>
      </c>
      <c r="AJ186" s="257">
        <v>28</v>
      </c>
      <c r="AK186" s="257" t="s">
        <v>1347</v>
      </c>
      <c r="AL186" s="257">
        <v>7.5</v>
      </c>
      <c r="AM186" s="257">
        <v>38.5</v>
      </c>
      <c r="AN186" s="270">
        <v>-3.6</v>
      </c>
    </row>
    <row r="187" ht="20.2" customHeight="1" spans="1:40">
      <c r="A187" s="449"/>
      <c r="B187" s="255">
        <v>4</v>
      </c>
      <c r="C187" s="253" t="s">
        <v>1348</v>
      </c>
      <c r="D187" s="255" t="s">
        <v>1349</v>
      </c>
      <c r="E187" s="257" t="s">
        <v>1350</v>
      </c>
      <c r="F187" s="257" t="s">
        <v>1119</v>
      </c>
      <c r="G187" s="257">
        <v>114.8</v>
      </c>
      <c r="H187" s="257" t="s">
        <v>47</v>
      </c>
      <c r="I187" s="257">
        <v>21.1</v>
      </c>
      <c r="J187" s="257">
        <v>6</v>
      </c>
      <c r="K187" s="257">
        <v>11.9</v>
      </c>
      <c r="L187" s="257">
        <v>3.6</v>
      </c>
      <c r="M187" s="257">
        <v>76</v>
      </c>
      <c r="N187" s="257">
        <v>34.8</v>
      </c>
      <c r="O187" s="257">
        <v>27.9</v>
      </c>
      <c r="P187" s="257">
        <v>32.5</v>
      </c>
      <c r="Q187" s="257">
        <v>65</v>
      </c>
      <c r="R187" s="257">
        <v>30.5</v>
      </c>
      <c r="S187" s="257">
        <v>1.2</v>
      </c>
      <c r="T187" s="257" t="s">
        <v>636</v>
      </c>
      <c r="U187" s="257" t="s">
        <v>1351</v>
      </c>
      <c r="V187" s="257">
        <v>1.5</v>
      </c>
      <c r="W187" s="257">
        <v>1.4</v>
      </c>
      <c r="X187" s="257" t="s">
        <v>855</v>
      </c>
      <c r="Y187" s="257" t="s">
        <v>1352</v>
      </c>
      <c r="Z187" s="257">
        <v>2.1</v>
      </c>
      <c r="AA187" s="257" t="s">
        <v>395</v>
      </c>
      <c r="AB187" s="257" t="s">
        <v>1353</v>
      </c>
      <c r="AC187" s="257">
        <v>31</v>
      </c>
      <c r="AD187" s="257" t="s">
        <v>577</v>
      </c>
      <c r="AE187" s="257">
        <v>1006.9</v>
      </c>
      <c r="AF187" s="257">
        <v>991.6</v>
      </c>
      <c r="AG187" s="257">
        <v>0</v>
      </c>
      <c r="AH187" s="257" t="s">
        <v>577</v>
      </c>
      <c r="AI187" s="257" t="s">
        <v>577</v>
      </c>
      <c r="AJ187" s="257">
        <v>0</v>
      </c>
      <c r="AK187" s="257" t="s">
        <v>577</v>
      </c>
      <c r="AL187" s="257" t="s">
        <v>577</v>
      </c>
      <c r="AM187" s="257">
        <v>39.7</v>
      </c>
      <c r="AN187" s="270">
        <v>-1.5</v>
      </c>
    </row>
    <row r="188" s="298" customFormat="1" ht="20.2" customHeight="1" spans="1:40">
      <c r="A188" s="246"/>
      <c r="B188" s="451">
        <v>5</v>
      </c>
      <c r="C188" s="253" t="s">
        <v>1354</v>
      </c>
      <c r="D188" s="255" t="s">
        <v>1355</v>
      </c>
      <c r="E188" s="390" t="s">
        <v>1356</v>
      </c>
      <c r="F188" s="390" t="s">
        <v>1357</v>
      </c>
      <c r="G188" s="390">
        <v>12.8</v>
      </c>
      <c r="H188" s="390" t="s">
        <v>47</v>
      </c>
      <c r="I188" s="390">
        <v>22.8</v>
      </c>
      <c r="J188" s="390">
        <v>8.2</v>
      </c>
      <c r="K188" s="390">
        <v>14.5</v>
      </c>
      <c r="L188" s="390">
        <v>6.2</v>
      </c>
      <c r="M188" s="390">
        <v>79</v>
      </c>
      <c r="N188" s="390">
        <v>33.1</v>
      </c>
      <c r="O188" s="390">
        <v>28.2</v>
      </c>
      <c r="P188" s="390">
        <v>30.9</v>
      </c>
      <c r="Q188" s="390">
        <v>74</v>
      </c>
      <c r="R188" s="390">
        <v>30.6</v>
      </c>
      <c r="S188" s="390">
        <v>3</v>
      </c>
      <c r="T188" s="390" t="s">
        <v>296</v>
      </c>
      <c r="U188" s="390">
        <v>14</v>
      </c>
      <c r="V188" s="390">
        <v>3.1</v>
      </c>
      <c r="W188" s="390">
        <v>3.8</v>
      </c>
      <c r="X188" s="390" t="s">
        <v>369</v>
      </c>
      <c r="Y188" s="390">
        <v>37</v>
      </c>
      <c r="Z188" s="390">
        <v>5</v>
      </c>
      <c r="AA188" s="390" t="s">
        <v>369</v>
      </c>
      <c r="AB188" s="390">
        <v>21</v>
      </c>
      <c r="AC188" s="390">
        <v>34</v>
      </c>
      <c r="AD188" s="390" t="s">
        <v>577</v>
      </c>
      <c r="AE188" s="390">
        <v>1017.3</v>
      </c>
      <c r="AF188" s="390">
        <v>1002.5</v>
      </c>
      <c r="AG188" s="390">
        <v>0</v>
      </c>
      <c r="AH188" s="390" t="s">
        <v>577</v>
      </c>
      <c r="AI188" s="390" t="s">
        <v>577</v>
      </c>
      <c r="AJ188" s="390">
        <v>0</v>
      </c>
      <c r="AK188" s="390" t="s">
        <v>577</v>
      </c>
      <c r="AL188" s="390" t="s">
        <v>577</v>
      </c>
      <c r="AM188" s="390">
        <v>37.1</v>
      </c>
      <c r="AN188" s="391">
        <v>2</v>
      </c>
    </row>
    <row r="189" ht="20.2" customHeight="1" spans="1:40">
      <c r="A189" s="246"/>
      <c r="B189" s="253">
        <v>6</v>
      </c>
      <c r="C189" s="253" t="s">
        <v>1358</v>
      </c>
      <c r="D189" s="255" t="s">
        <v>1359</v>
      </c>
      <c r="E189" s="257" t="s">
        <v>1360</v>
      </c>
      <c r="F189" s="257" t="s">
        <v>1361</v>
      </c>
      <c r="G189" s="257">
        <v>173.5</v>
      </c>
      <c r="H189" s="257" t="s">
        <v>47</v>
      </c>
      <c r="I189" s="257">
        <v>22</v>
      </c>
      <c r="J189" s="257">
        <v>8.8</v>
      </c>
      <c r="K189" s="257">
        <v>13.4</v>
      </c>
      <c r="L189" s="257">
        <v>7.1</v>
      </c>
      <c r="M189" s="257">
        <v>76</v>
      </c>
      <c r="N189" s="257">
        <v>36.1</v>
      </c>
      <c r="O189" s="257">
        <v>27.9</v>
      </c>
      <c r="P189" s="257">
        <v>32.7</v>
      </c>
      <c r="Q189" s="257">
        <v>65</v>
      </c>
      <c r="R189" s="257">
        <v>31.3</v>
      </c>
      <c r="S189" s="257">
        <v>1.3</v>
      </c>
      <c r="T189" s="257" t="s">
        <v>211</v>
      </c>
      <c r="U189" s="257" t="s">
        <v>269</v>
      </c>
      <c r="V189" s="257">
        <v>2.5</v>
      </c>
      <c r="W189" s="257">
        <v>1.2</v>
      </c>
      <c r="X189" s="257" t="s">
        <v>82</v>
      </c>
      <c r="Y189" s="257" t="s">
        <v>1362</v>
      </c>
      <c r="Z189" s="257">
        <v>2.2</v>
      </c>
      <c r="AA189" s="257" t="s">
        <v>211</v>
      </c>
      <c r="AB189" s="257" t="s">
        <v>1363</v>
      </c>
      <c r="AC189" s="257">
        <v>29</v>
      </c>
      <c r="AD189" s="257" t="s">
        <v>577</v>
      </c>
      <c r="AE189" s="257">
        <v>998.8</v>
      </c>
      <c r="AF189" s="257">
        <v>983.6</v>
      </c>
      <c r="AG189" s="257">
        <v>0</v>
      </c>
      <c r="AH189" s="257" t="s">
        <v>577</v>
      </c>
      <c r="AI189" s="257" t="s">
        <v>577</v>
      </c>
      <c r="AJ189" s="257">
        <v>0</v>
      </c>
      <c r="AK189" s="257" t="s">
        <v>577</v>
      </c>
      <c r="AL189" s="257" t="s">
        <v>577</v>
      </c>
      <c r="AM189" s="257">
        <v>42.2</v>
      </c>
      <c r="AN189" s="270">
        <v>0.1</v>
      </c>
    </row>
    <row r="190" ht="20.2" customHeight="1" spans="1:40">
      <c r="A190" s="246"/>
      <c r="B190" s="450">
        <v>7</v>
      </c>
      <c r="C190" s="253" t="s">
        <v>1364</v>
      </c>
      <c r="D190" s="255" t="s">
        <v>1365</v>
      </c>
      <c r="E190" s="257" t="s">
        <v>1366</v>
      </c>
      <c r="F190" s="257" t="s">
        <v>1367</v>
      </c>
      <c r="G190" s="257">
        <v>4.5</v>
      </c>
      <c r="H190" s="257" t="s">
        <v>47</v>
      </c>
      <c r="I190" s="257">
        <v>22.2</v>
      </c>
      <c r="J190" s="257">
        <v>7.9</v>
      </c>
      <c r="K190" s="257">
        <v>13.6</v>
      </c>
      <c r="L190" s="257">
        <v>5.8</v>
      </c>
      <c r="M190" s="257">
        <v>77</v>
      </c>
      <c r="N190" s="257">
        <v>33.6</v>
      </c>
      <c r="O190" s="257">
        <v>28.3</v>
      </c>
      <c r="P190" s="257">
        <v>31.1</v>
      </c>
      <c r="Q190" s="257">
        <v>75</v>
      </c>
      <c r="R190" s="257">
        <v>30.3</v>
      </c>
      <c r="S190" s="257">
        <v>2.4</v>
      </c>
      <c r="T190" s="257" t="s">
        <v>296</v>
      </c>
      <c r="U190" s="257">
        <v>20</v>
      </c>
      <c r="V190" s="257">
        <v>3.1</v>
      </c>
      <c r="W190" s="257">
        <v>2.7</v>
      </c>
      <c r="X190" s="257" t="s">
        <v>369</v>
      </c>
      <c r="Y190" s="257">
        <v>33</v>
      </c>
      <c r="Z190" s="257">
        <v>3.5</v>
      </c>
      <c r="AA190" s="257" t="s">
        <v>369</v>
      </c>
      <c r="AB190" s="257">
        <v>20</v>
      </c>
      <c r="AC190" s="257">
        <v>27</v>
      </c>
      <c r="AD190" s="257" t="s">
        <v>577</v>
      </c>
      <c r="AE190" s="257">
        <v>1019</v>
      </c>
      <c r="AF190" s="257">
        <v>1003.5</v>
      </c>
      <c r="AG190" s="257">
        <v>0</v>
      </c>
      <c r="AH190" s="257" t="s">
        <v>577</v>
      </c>
      <c r="AI190" s="257" t="s">
        <v>577</v>
      </c>
      <c r="AJ190" s="257">
        <v>0</v>
      </c>
      <c r="AK190" s="257" t="s">
        <v>577</v>
      </c>
      <c r="AL190" s="257" t="s">
        <v>577</v>
      </c>
      <c r="AM190" s="257">
        <v>37.5</v>
      </c>
      <c r="AN190" s="270">
        <v>2</v>
      </c>
    </row>
    <row r="191" ht="20.2" customHeight="1" spans="1:40">
      <c r="A191" s="246"/>
      <c r="B191" s="255">
        <v>8</v>
      </c>
      <c r="C191" s="253" t="s">
        <v>1368</v>
      </c>
      <c r="D191" s="255" t="s">
        <v>1369</v>
      </c>
      <c r="E191" s="257" t="s">
        <v>1370</v>
      </c>
      <c r="F191" s="257" t="s">
        <v>1219</v>
      </c>
      <c r="G191" s="257">
        <v>81.8</v>
      </c>
      <c r="H191" s="257" t="s">
        <v>47</v>
      </c>
      <c r="I191" s="257">
        <v>21.8</v>
      </c>
      <c r="J191" s="257">
        <v>7.1</v>
      </c>
      <c r="K191" s="257">
        <v>13.1</v>
      </c>
      <c r="L191" s="257">
        <v>5.1</v>
      </c>
      <c r="M191" s="257">
        <v>79</v>
      </c>
      <c r="N191" s="257">
        <v>34</v>
      </c>
      <c r="O191" s="257">
        <v>27.8</v>
      </c>
      <c r="P191" s="257">
        <v>31.7</v>
      </c>
      <c r="Q191" s="257">
        <v>68</v>
      </c>
      <c r="R191" s="257">
        <v>30.3</v>
      </c>
      <c r="S191" s="257">
        <v>1.4</v>
      </c>
      <c r="T191" s="257" t="s">
        <v>211</v>
      </c>
      <c r="U191" s="257" t="s">
        <v>1031</v>
      </c>
      <c r="V191" s="257">
        <v>1.7</v>
      </c>
      <c r="W191" s="257">
        <v>1.7</v>
      </c>
      <c r="X191" s="257" t="s">
        <v>50</v>
      </c>
      <c r="Y191" s="257" t="s">
        <v>1371</v>
      </c>
      <c r="Z191" s="257">
        <v>3.2</v>
      </c>
      <c r="AA191" s="257" t="s">
        <v>50</v>
      </c>
      <c r="AB191" s="257" t="s">
        <v>1372</v>
      </c>
      <c r="AC191" s="257">
        <v>29</v>
      </c>
      <c r="AD191" s="257" t="s">
        <v>577</v>
      </c>
      <c r="AE191" s="257">
        <v>1009.9</v>
      </c>
      <c r="AF191" s="257">
        <v>995</v>
      </c>
      <c r="AG191" s="257">
        <v>0</v>
      </c>
      <c r="AH191" s="257" t="s">
        <v>577</v>
      </c>
      <c r="AI191" s="257" t="s">
        <v>577</v>
      </c>
      <c r="AJ191" s="257">
        <v>0</v>
      </c>
      <c r="AK191" s="257" t="s">
        <v>577</v>
      </c>
      <c r="AL191" s="257" t="s">
        <v>577</v>
      </c>
      <c r="AM191" s="257">
        <v>38.4</v>
      </c>
      <c r="AN191" s="270">
        <v>0.8</v>
      </c>
    </row>
    <row r="192" ht="20.2" customHeight="1" spans="1:40">
      <c r="A192" s="246"/>
      <c r="B192" s="255">
        <v>9</v>
      </c>
      <c r="C192" s="253" t="s">
        <v>1373</v>
      </c>
      <c r="D192" s="255" t="s">
        <v>1374</v>
      </c>
      <c r="E192" s="257" t="s">
        <v>1375</v>
      </c>
      <c r="F192" s="257" t="s">
        <v>1376</v>
      </c>
      <c r="G192" s="257">
        <v>22.1</v>
      </c>
      <c r="H192" s="257" t="s">
        <v>47</v>
      </c>
      <c r="I192" s="257">
        <v>22.6</v>
      </c>
      <c r="J192" s="257">
        <v>10.5</v>
      </c>
      <c r="K192" s="257">
        <v>15.1</v>
      </c>
      <c r="L192" s="257">
        <v>8.6</v>
      </c>
      <c r="M192" s="257">
        <v>81</v>
      </c>
      <c r="N192" s="257">
        <v>33.5</v>
      </c>
      <c r="O192" s="257">
        <v>28.5</v>
      </c>
      <c r="P192" s="257">
        <v>30.9</v>
      </c>
      <c r="Q192" s="257">
        <v>77</v>
      </c>
      <c r="R192" s="257">
        <v>29.9</v>
      </c>
      <c r="S192" s="257">
        <v>2.1</v>
      </c>
      <c r="T192" s="257" t="s">
        <v>130</v>
      </c>
      <c r="U192" s="257" t="s">
        <v>1377</v>
      </c>
      <c r="V192" s="257">
        <v>3.3</v>
      </c>
      <c r="W192" s="257">
        <v>1.7</v>
      </c>
      <c r="X192" s="257" t="s">
        <v>198</v>
      </c>
      <c r="Y192" s="257" t="s">
        <v>1378</v>
      </c>
      <c r="Z192" s="257">
        <v>2</v>
      </c>
      <c r="AA192" s="257" t="s">
        <v>198</v>
      </c>
      <c r="AB192" s="257" t="s">
        <v>325</v>
      </c>
      <c r="AC192" s="257">
        <v>24</v>
      </c>
      <c r="AD192" s="257" t="s">
        <v>577</v>
      </c>
      <c r="AE192" s="257">
        <v>1016.2</v>
      </c>
      <c r="AF192" s="257">
        <v>1001.4</v>
      </c>
      <c r="AG192" s="257">
        <v>0</v>
      </c>
      <c r="AH192" s="257" t="s">
        <v>577</v>
      </c>
      <c r="AI192" s="257" t="s">
        <v>577</v>
      </c>
      <c r="AJ192" s="257">
        <v>0</v>
      </c>
      <c r="AK192" s="257" t="s">
        <v>577</v>
      </c>
      <c r="AL192" s="257" t="s">
        <v>577</v>
      </c>
      <c r="AM192" s="257">
        <v>38.1</v>
      </c>
      <c r="AN192" s="270">
        <v>3.3</v>
      </c>
    </row>
    <row r="193" ht="20.2" customHeight="1" spans="1:40">
      <c r="A193" s="246"/>
      <c r="B193" s="255">
        <v>10</v>
      </c>
      <c r="C193" s="253" t="s">
        <v>1379</v>
      </c>
      <c r="D193" s="255" t="s">
        <v>1380</v>
      </c>
      <c r="E193" s="257" t="s">
        <v>1381</v>
      </c>
      <c r="F193" s="257" t="s">
        <v>1382</v>
      </c>
      <c r="G193" s="257">
        <v>211</v>
      </c>
      <c r="H193" s="257" t="s">
        <v>47</v>
      </c>
      <c r="I193" s="257">
        <v>20.5</v>
      </c>
      <c r="J193" s="257">
        <v>6.3</v>
      </c>
      <c r="K193" s="257">
        <v>10.9</v>
      </c>
      <c r="L193" s="257">
        <v>4.3</v>
      </c>
      <c r="M193" s="257">
        <v>75</v>
      </c>
      <c r="N193" s="257">
        <v>34.6</v>
      </c>
      <c r="O193" s="257">
        <v>27.1</v>
      </c>
      <c r="P193" s="257">
        <v>31.7</v>
      </c>
      <c r="Q193" s="257">
        <v>66</v>
      </c>
      <c r="R193" s="257">
        <v>30.7</v>
      </c>
      <c r="S193" s="257">
        <v>1.2</v>
      </c>
      <c r="T193" s="257" t="s">
        <v>90</v>
      </c>
      <c r="U193" s="257" t="s">
        <v>1383</v>
      </c>
      <c r="V193" s="257">
        <v>2</v>
      </c>
      <c r="W193" s="257">
        <v>1.1</v>
      </c>
      <c r="X193" s="257" t="s">
        <v>90</v>
      </c>
      <c r="Y193" s="257" t="s">
        <v>1384</v>
      </c>
      <c r="Z193" s="257">
        <v>1.9</v>
      </c>
      <c r="AA193" s="257" t="s">
        <v>90</v>
      </c>
      <c r="AB193" s="257" t="s">
        <v>1385</v>
      </c>
      <c r="AC193" s="257">
        <v>21</v>
      </c>
      <c r="AD193" s="257" t="s">
        <v>577</v>
      </c>
      <c r="AE193" s="257">
        <v>995.9</v>
      </c>
      <c r="AF193" s="257">
        <v>980.1</v>
      </c>
      <c r="AG193" s="257">
        <v>0</v>
      </c>
      <c r="AH193" s="257" t="s">
        <v>577</v>
      </c>
      <c r="AI193" s="257" t="s">
        <v>577</v>
      </c>
      <c r="AJ193" s="257">
        <v>0</v>
      </c>
      <c r="AK193" s="257" t="s">
        <v>577</v>
      </c>
      <c r="AL193" s="257" t="s">
        <v>577</v>
      </c>
      <c r="AM193" s="257">
        <v>39.4</v>
      </c>
      <c r="AN193" s="270">
        <v>0</v>
      </c>
    </row>
    <row r="194" ht="20.2" customHeight="1" spans="1:40">
      <c r="A194" s="246"/>
      <c r="B194" s="452">
        <v>11</v>
      </c>
      <c r="C194" s="253" t="s">
        <v>1386</v>
      </c>
      <c r="D194" s="255" t="s">
        <v>1387</v>
      </c>
      <c r="E194" s="257" t="s">
        <v>1388</v>
      </c>
      <c r="F194" s="257" t="s">
        <v>1389</v>
      </c>
      <c r="G194" s="257">
        <v>84.9</v>
      </c>
      <c r="H194" s="257" t="s">
        <v>47</v>
      </c>
      <c r="I194" s="257">
        <v>20.8</v>
      </c>
      <c r="J194" s="257">
        <v>5.5</v>
      </c>
      <c r="K194" s="257">
        <v>10.8</v>
      </c>
      <c r="L194" s="257">
        <v>3.6</v>
      </c>
      <c r="M194" s="257">
        <v>75</v>
      </c>
      <c r="N194" s="257">
        <v>34.6</v>
      </c>
      <c r="O194" s="257">
        <v>27.7</v>
      </c>
      <c r="P194" s="257">
        <v>32.2</v>
      </c>
      <c r="Q194" s="257">
        <v>66</v>
      </c>
      <c r="R194" s="257">
        <v>30.8</v>
      </c>
      <c r="S194" s="257">
        <v>1.8</v>
      </c>
      <c r="T194" s="257" t="s">
        <v>130</v>
      </c>
      <c r="U194" s="257" t="s">
        <v>324</v>
      </c>
      <c r="V194" s="257">
        <v>2.8</v>
      </c>
      <c r="W194" s="257">
        <v>2.4</v>
      </c>
      <c r="X194" s="257" t="s">
        <v>262</v>
      </c>
      <c r="Y194" s="257">
        <v>25</v>
      </c>
      <c r="Z194" s="257">
        <v>3.3</v>
      </c>
      <c r="AA194" s="257" t="s">
        <v>162</v>
      </c>
      <c r="AB194" s="257" t="s">
        <v>915</v>
      </c>
      <c r="AC194" s="257">
        <v>25</v>
      </c>
      <c r="AD194" s="257" t="s">
        <v>577</v>
      </c>
      <c r="AE194" s="257">
        <v>1010.8</v>
      </c>
      <c r="AF194" s="257">
        <v>994.4</v>
      </c>
      <c r="AG194" s="257">
        <v>0</v>
      </c>
      <c r="AH194" s="257" t="s">
        <v>577</v>
      </c>
      <c r="AI194" s="257" t="s">
        <v>577</v>
      </c>
      <c r="AJ194" s="257">
        <v>0</v>
      </c>
      <c r="AK194" s="257" t="s">
        <v>577</v>
      </c>
      <c r="AL194" s="257" t="s">
        <v>577</v>
      </c>
      <c r="AM194" s="257">
        <v>39.6</v>
      </c>
      <c r="AN194" s="270">
        <v>-1.6</v>
      </c>
    </row>
    <row r="195" ht="20.2" customHeight="1" spans="1:40">
      <c r="A195" s="246"/>
      <c r="B195" s="253">
        <v>12</v>
      </c>
      <c r="C195" s="253" t="s">
        <v>1390</v>
      </c>
      <c r="D195" s="255" t="s">
        <v>1391</v>
      </c>
      <c r="E195" s="257" t="s">
        <v>1392</v>
      </c>
      <c r="F195" s="257" t="s">
        <v>1393</v>
      </c>
      <c r="G195" s="257">
        <v>108.8</v>
      </c>
      <c r="H195" s="257" t="s">
        <v>47</v>
      </c>
      <c r="I195" s="257">
        <v>19.9</v>
      </c>
      <c r="J195" s="257">
        <v>4</v>
      </c>
      <c r="K195" s="257">
        <v>9.3</v>
      </c>
      <c r="L195" s="257">
        <v>1.9</v>
      </c>
      <c r="M195" s="257">
        <v>78</v>
      </c>
      <c r="N195" s="257">
        <v>35</v>
      </c>
      <c r="O195" s="257">
        <v>27.5</v>
      </c>
      <c r="P195" s="257">
        <v>32.6</v>
      </c>
      <c r="Q195" s="257">
        <v>62</v>
      </c>
      <c r="R195" s="257">
        <v>30.8</v>
      </c>
      <c r="S195" s="257">
        <v>1.7</v>
      </c>
      <c r="T195" s="257" t="s">
        <v>90</v>
      </c>
      <c r="U195" s="257" t="s">
        <v>1394</v>
      </c>
      <c r="V195" s="257">
        <v>2.3</v>
      </c>
      <c r="W195" s="257">
        <v>1.5</v>
      </c>
      <c r="X195" s="257" t="s">
        <v>132</v>
      </c>
      <c r="Y195" s="257" t="s">
        <v>1395</v>
      </c>
      <c r="Z195" s="257">
        <v>2.3</v>
      </c>
      <c r="AA195" s="257" t="s">
        <v>132</v>
      </c>
      <c r="AB195" s="257" t="s">
        <v>1188</v>
      </c>
      <c r="AC195" s="257">
        <v>26</v>
      </c>
      <c r="AD195" s="257" t="s">
        <v>577</v>
      </c>
      <c r="AE195" s="257">
        <v>1009</v>
      </c>
      <c r="AF195" s="257">
        <v>992.4</v>
      </c>
      <c r="AG195" s="257">
        <v>0</v>
      </c>
      <c r="AH195" s="257" t="s">
        <v>577</v>
      </c>
      <c r="AI195" s="257" t="s">
        <v>577</v>
      </c>
      <c r="AJ195" s="257">
        <v>0</v>
      </c>
      <c r="AK195" s="257" t="s">
        <v>577</v>
      </c>
      <c r="AL195" s="257" t="s">
        <v>577</v>
      </c>
      <c r="AM195" s="257">
        <v>39.5</v>
      </c>
      <c r="AN195" s="270">
        <v>-3.5</v>
      </c>
    </row>
    <row r="196" s="299" customFormat="1" ht="20.2" customHeight="1" spans="1:40">
      <c r="A196" s="364"/>
      <c r="B196" s="453">
        <v>13</v>
      </c>
      <c r="C196" s="394" t="s">
        <v>1396</v>
      </c>
      <c r="D196" s="393" t="s">
        <v>1397</v>
      </c>
      <c r="E196" s="393" t="s">
        <v>1398</v>
      </c>
      <c r="F196" s="393" t="s">
        <v>1399</v>
      </c>
      <c r="G196" s="393">
        <v>128.8</v>
      </c>
      <c r="H196" s="393" t="s">
        <v>47</v>
      </c>
      <c r="I196" s="393">
        <v>22.2</v>
      </c>
      <c r="J196" s="393">
        <v>9</v>
      </c>
      <c r="K196" s="393">
        <v>14</v>
      </c>
      <c r="L196" s="393">
        <v>7.3</v>
      </c>
      <c r="M196" s="393">
        <v>79</v>
      </c>
      <c r="N196" s="393">
        <v>35</v>
      </c>
      <c r="O196" s="393">
        <v>28.1</v>
      </c>
      <c r="P196" s="393">
        <v>32.1</v>
      </c>
      <c r="Q196" s="393">
        <v>68</v>
      </c>
      <c r="R196" s="393">
        <v>30.9</v>
      </c>
      <c r="S196" s="393">
        <v>1</v>
      </c>
      <c r="T196" s="393" t="s">
        <v>636</v>
      </c>
      <c r="U196" s="393" t="s">
        <v>1400</v>
      </c>
      <c r="V196" s="393">
        <v>2</v>
      </c>
      <c r="W196" s="393">
        <v>1.2</v>
      </c>
      <c r="X196" s="393" t="s">
        <v>636</v>
      </c>
      <c r="Y196" s="393" t="s">
        <v>1401</v>
      </c>
      <c r="Z196" s="393">
        <v>2.2</v>
      </c>
      <c r="AA196" s="393" t="s">
        <v>90</v>
      </c>
      <c r="AB196" s="393" t="s">
        <v>1253</v>
      </c>
      <c r="AC196" s="393">
        <v>24</v>
      </c>
      <c r="AD196" s="393" t="s">
        <v>577</v>
      </c>
      <c r="AE196" s="393">
        <v>1004</v>
      </c>
      <c r="AF196" s="393">
        <v>989</v>
      </c>
      <c r="AG196" s="393">
        <v>0</v>
      </c>
      <c r="AH196" s="393" t="s">
        <v>577</v>
      </c>
      <c r="AI196" s="393" t="s">
        <v>577</v>
      </c>
      <c r="AJ196" s="393">
        <v>0</v>
      </c>
      <c r="AK196" s="393" t="s">
        <v>577</v>
      </c>
      <c r="AL196" s="393" t="s">
        <v>577</v>
      </c>
      <c r="AM196" s="393">
        <v>39.9</v>
      </c>
      <c r="AN196" s="395">
        <v>-0.2</v>
      </c>
    </row>
    <row r="197" s="301" customFormat="1" ht="20.2" customHeight="1" spans="1:40">
      <c r="A197" s="454" t="s">
        <v>1402</v>
      </c>
      <c r="B197" s="404">
        <v>1</v>
      </c>
      <c r="C197" s="405" t="s">
        <v>1403</v>
      </c>
      <c r="D197" s="404" t="s">
        <v>1404</v>
      </c>
      <c r="E197" s="404" t="s">
        <v>1405</v>
      </c>
      <c r="F197" s="404" t="s">
        <v>1406</v>
      </c>
      <c r="G197" s="404">
        <v>13.9</v>
      </c>
      <c r="H197" s="404" t="s">
        <v>47</v>
      </c>
      <c r="I197" s="404">
        <v>24.1</v>
      </c>
      <c r="J197" s="404">
        <v>12.6</v>
      </c>
      <c r="K197" s="404">
        <v>17.7</v>
      </c>
      <c r="L197" s="404">
        <v>10.3</v>
      </c>
      <c r="M197" s="404">
        <v>86</v>
      </c>
      <c r="N197" s="404">
        <v>35.1</v>
      </c>
      <c r="O197" s="404">
        <v>28.1</v>
      </c>
      <c r="P197" s="404">
        <v>32.2</v>
      </c>
      <c r="Q197" s="404">
        <v>68</v>
      </c>
      <c r="R197" s="404">
        <v>30.5</v>
      </c>
      <c r="S197" s="404">
        <v>2.3</v>
      </c>
      <c r="T197" s="404" t="s">
        <v>687</v>
      </c>
      <c r="U197" s="404">
        <v>19</v>
      </c>
      <c r="V197" s="404">
        <v>2.7</v>
      </c>
      <c r="W197" s="404">
        <v>2.5</v>
      </c>
      <c r="X197" s="404" t="s">
        <v>381</v>
      </c>
      <c r="Y197" s="404">
        <v>24</v>
      </c>
      <c r="Z197" s="404">
        <v>3.1</v>
      </c>
      <c r="AA197" s="404" t="s">
        <v>381</v>
      </c>
      <c r="AB197" s="404">
        <v>14</v>
      </c>
      <c r="AC197" s="404">
        <v>34</v>
      </c>
      <c r="AD197" s="404" t="s">
        <v>577</v>
      </c>
      <c r="AE197" s="404">
        <v>1016.4</v>
      </c>
      <c r="AF197" s="404">
        <v>1002.8</v>
      </c>
      <c r="AG197" s="404">
        <v>0</v>
      </c>
      <c r="AH197" s="404" t="s">
        <v>577</v>
      </c>
      <c r="AI197" s="404" t="s">
        <v>577</v>
      </c>
      <c r="AJ197" s="404">
        <v>0</v>
      </c>
      <c r="AK197" s="404" t="s">
        <v>577</v>
      </c>
      <c r="AL197" s="404" t="s">
        <v>577</v>
      </c>
      <c r="AM197" s="404">
        <v>38.7</v>
      </c>
      <c r="AN197" s="406">
        <v>4.9</v>
      </c>
    </row>
    <row r="198" s="300" customFormat="1" ht="28.5" customHeight="1" spans="1:40">
      <c r="A198" s="455"/>
      <c r="B198" s="423">
        <v>2</v>
      </c>
      <c r="C198" s="401" t="s">
        <v>1407</v>
      </c>
      <c r="D198" s="402">
        <v>59948</v>
      </c>
      <c r="E198" s="402" t="s">
        <v>1408</v>
      </c>
      <c r="F198" s="402" t="s">
        <v>1409</v>
      </c>
      <c r="G198" s="402">
        <v>5.9</v>
      </c>
      <c r="H198" s="402" t="s">
        <v>47</v>
      </c>
      <c r="I198" s="402">
        <v>25.8</v>
      </c>
      <c r="J198" s="402">
        <v>17.9</v>
      </c>
      <c r="K198" s="402">
        <v>21.6</v>
      </c>
      <c r="L198" s="402">
        <v>15.8</v>
      </c>
      <c r="M198" s="402">
        <v>73</v>
      </c>
      <c r="N198" s="402">
        <v>32.8</v>
      </c>
      <c r="O198" s="402">
        <v>28.1</v>
      </c>
      <c r="P198" s="402">
        <v>31.3</v>
      </c>
      <c r="Q198" s="402">
        <v>73</v>
      </c>
      <c r="R198" s="402">
        <v>30.2</v>
      </c>
      <c r="S198" s="402">
        <v>2.2</v>
      </c>
      <c r="T198" s="402" t="s">
        <v>845</v>
      </c>
      <c r="U198" s="402" t="s">
        <v>61</v>
      </c>
      <c r="V198" s="402">
        <v>2.4</v>
      </c>
      <c r="W198" s="402">
        <v>2.7</v>
      </c>
      <c r="X198" s="402" t="s">
        <v>381</v>
      </c>
      <c r="Y198" s="402">
        <v>19</v>
      </c>
      <c r="Z198" s="402">
        <v>3</v>
      </c>
      <c r="AA198" s="402" t="s">
        <v>90</v>
      </c>
      <c r="AB198" s="402" t="s">
        <v>396</v>
      </c>
      <c r="AC198" s="402">
        <v>54</v>
      </c>
      <c r="AD198" s="402" t="s">
        <v>577</v>
      </c>
      <c r="AE198" s="402">
        <v>1016.2</v>
      </c>
      <c r="AF198" s="402">
        <v>1005.6</v>
      </c>
      <c r="AG198" s="402">
        <v>0</v>
      </c>
      <c r="AH198" s="402" t="s">
        <v>577</v>
      </c>
      <c r="AI198" s="402" t="s">
        <v>577</v>
      </c>
      <c r="AJ198" s="402">
        <v>0</v>
      </c>
      <c r="AK198" s="402" t="s">
        <v>577</v>
      </c>
      <c r="AL198" s="402" t="s">
        <v>577</v>
      </c>
      <c r="AM198" s="402">
        <v>35.9</v>
      </c>
      <c r="AN198" s="403">
        <v>5.1</v>
      </c>
    </row>
    <row r="199" s="308" customFormat="1" ht="20.2" customHeight="1" spans="1:40">
      <c r="A199" s="424" t="s">
        <v>1410</v>
      </c>
      <c r="B199" s="456">
        <v>1</v>
      </c>
      <c r="C199" s="457" t="s">
        <v>1410</v>
      </c>
      <c r="D199" s="456" t="s">
        <v>1411</v>
      </c>
      <c r="E199" s="456" t="s">
        <v>1412</v>
      </c>
      <c r="F199" s="456" t="s">
        <v>1413</v>
      </c>
      <c r="G199" s="456">
        <v>351.1</v>
      </c>
      <c r="H199" s="456" t="s">
        <v>1414</v>
      </c>
      <c r="I199" s="456">
        <v>17.7</v>
      </c>
      <c r="J199" s="456">
        <v>4.1</v>
      </c>
      <c r="K199" s="456">
        <v>7.2</v>
      </c>
      <c r="L199" s="456">
        <v>2.2</v>
      </c>
      <c r="M199" s="456">
        <v>83</v>
      </c>
      <c r="N199" s="456">
        <v>35.5</v>
      </c>
      <c r="O199" s="456">
        <v>26.5</v>
      </c>
      <c r="P199" s="456">
        <v>31.7</v>
      </c>
      <c r="Q199" s="456">
        <v>59</v>
      </c>
      <c r="R199" s="456">
        <v>32.3</v>
      </c>
      <c r="S199" s="456">
        <v>1.5</v>
      </c>
      <c r="T199" s="456" t="s">
        <v>395</v>
      </c>
      <c r="U199" s="456" t="s">
        <v>1415</v>
      </c>
      <c r="V199" s="456">
        <v>1.1</v>
      </c>
      <c r="W199" s="456">
        <v>1.1</v>
      </c>
      <c r="X199" s="456" t="s">
        <v>188</v>
      </c>
      <c r="Y199" s="456" t="s">
        <v>1323</v>
      </c>
      <c r="Z199" s="456">
        <v>1.6</v>
      </c>
      <c r="AA199" s="456" t="s">
        <v>188</v>
      </c>
      <c r="AB199" s="456" t="s">
        <v>1214</v>
      </c>
      <c r="AC199" s="456">
        <v>7.5</v>
      </c>
      <c r="AD199" s="456" t="s">
        <v>577</v>
      </c>
      <c r="AE199" s="456">
        <v>980.6</v>
      </c>
      <c r="AF199" s="456">
        <v>963.8</v>
      </c>
      <c r="AG199" s="456">
        <v>0</v>
      </c>
      <c r="AH199" s="456" t="s">
        <v>577</v>
      </c>
      <c r="AI199" s="456" t="s">
        <v>577</v>
      </c>
      <c r="AJ199" s="456">
        <v>53</v>
      </c>
      <c r="AK199" s="456" t="s">
        <v>1416</v>
      </c>
      <c r="AL199" s="456">
        <v>7.2</v>
      </c>
      <c r="AM199" s="456">
        <v>40.2</v>
      </c>
      <c r="AN199" s="458">
        <v>-1.8</v>
      </c>
    </row>
    <row r="200" s="301" customFormat="1" ht="20.2" customHeight="1" spans="1:40">
      <c r="A200" s="459"/>
      <c r="B200" s="364">
        <v>2</v>
      </c>
      <c r="C200" s="405" t="s">
        <v>1417</v>
      </c>
      <c r="D200" s="404" t="s">
        <v>1418</v>
      </c>
      <c r="E200" s="404" t="s">
        <v>1419</v>
      </c>
      <c r="F200" s="404" t="s">
        <v>1420</v>
      </c>
      <c r="G200" s="404">
        <v>186.7</v>
      </c>
      <c r="H200" s="404" t="s">
        <v>47</v>
      </c>
      <c r="I200" s="404">
        <v>18</v>
      </c>
      <c r="J200" s="404">
        <v>4.3</v>
      </c>
      <c r="K200" s="404">
        <v>7</v>
      </c>
      <c r="L200" s="404">
        <v>2.9</v>
      </c>
      <c r="M200" s="404">
        <v>85</v>
      </c>
      <c r="N200" s="404">
        <v>36.5</v>
      </c>
      <c r="O200" s="404">
        <v>27.9</v>
      </c>
      <c r="P200" s="404">
        <v>33</v>
      </c>
      <c r="Q200" s="404">
        <v>56</v>
      </c>
      <c r="R200" s="404">
        <v>31.4</v>
      </c>
      <c r="S200" s="404">
        <v>0.5</v>
      </c>
      <c r="T200" s="404" t="s">
        <v>414</v>
      </c>
      <c r="U200" s="404" t="s">
        <v>1421</v>
      </c>
      <c r="V200" s="404">
        <v>2.3</v>
      </c>
      <c r="W200" s="404">
        <v>0.4</v>
      </c>
      <c r="X200" s="404" t="s">
        <v>188</v>
      </c>
      <c r="Y200" s="404" t="s">
        <v>1422</v>
      </c>
      <c r="Z200" s="404">
        <v>1.9</v>
      </c>
      <c r="AA200" s="404" t="s">
        <v>188</v>
      </c>
      <c r="AB200" s="404" t="s">
        <v>1423</v>
      </c>
      <c r="AC200" s="404">
        <v>12</v>
      </c>
      <c r="AD200" s="404" t="s">
        <v>577</v>
      </c>
      <c r="AE200" s="404">
        <v>1001.1</v>
      </c>
      <c r="AF200" s="404">
        <v>982.3</v>
      </c>
      <c r="AG200" s="404">
        <v>0</v>
      </c>
      <c r="AH200" s="404" t="s">
        <v>577</v>
      </c>
      <c r="AI200" s="404" t="s">
        <v>577</v>
      </c>
      <c r="AJ200" s="404">
        <v>54</v>
      </c>
      <c r="AK200" s="404" t="s">
        <v>918</v>
      </c>
      <c r="AL200" s="404">
        <v>7.2</v>
      </c>
      <c r="AM200" s="404">
        <v>42.1</v>
      </c>
      <c r="AN200" s="406">
        <v>-3.7</v>
      </c>
    </row>
    <row r="201" s="308" customFormat="1" ht="20.2" customHeight="1" spans="1:40">
      <c r="A201" s="460"/>
      <c r="B201" s="461">
        <v>3</v>
      </c>
      <c r="C201" s="457" t="s">
        <v>1424</v>
      </c>
      <c r="D201" s="456" t="s">
        <v>1425</v>
      </c>
      <c r="E201" s="456" t="s">
        <v>1426</v>
      </c>
      <c r="F201" s="456" t="s">
        <v>1427</v>
      </c>
      <c r="G201" s="456">
        <v>607.3</v>
      </c>
      <c r="H201" s="456" t="s">
        <v>47</v>
      </c>
      <c r="I201" s="456">
        <v>16.3</v>
      </c>
      <c r="J201" s="456">
        <v>1.8</v>
      </c>
      <c r="K201" s="456">
        <v>5.2</v>
      </c>
      <c r="L201" s="456">
        <v>0</v>
      </c>
      <c r="M201" s="456">
        <v>71</v>
      </c>
      <c r="N201" s="456">
        <v>34.3</v>
      </c>
      <c r="O201" s="456">
        <v>25.4</v>
      </c>
      <c r="P201" s="456">
        <v>30.6</v>
      </c>
      <c r="Q201" s="456">
        <v>57</v>
      </c>
      <c r="R201" s="456">
        <v>30.9</v>
      </c>
      <c r="S201" s="456">
        <v>3</v>
      </c>
      <c r="T201" s="456" t="s">
        <v>188</v>
      </c>
      <c r="U201" s="456" t="s">
        <v>261</v>
      </c>
      <c r="V201" s="456">
        <v>2.6</v>
      </c>
      <c r="W201" s="456">
        <v>3.1</v>
      </c>
      <c r="X201" s="456" t="s">
        <v>188</v>
      </c>
      <c r="Y201" s="456" t="s">
        <v>1428</v>
      </c>
      <c r="Z201" s="456">
        <v>2.6</v>
      </c>
      <c r="AA201" s="456" t="s">
        <v>188</v>
      </c>
      <c r="AB201" s="456" t="s">
        <v>1352</v>
      </c>
      <c r="AC201" s="456">
        <v>22</v>
      </c>
      <c r="AD201" s="456" t="s">
        <v>577</v>
      </c>
      <c r="AE201" s="456">
        <v>1018.7</v>
      </c>
      <c r="AF201" s="456">
        <v>997.5</v>
      </c>
      <c r="AG201" s="456">
        <v>12</v>
      </c>
      <c r="AH201" s="456" t="s">
        <v>1429</v>
      </c>
      <c r="AI201" s="456">
        <v>4.8</v>
      </c>
      <c r="AJ201" s="456">
        <v>85</v>
      </c>
      <c r="AK201" s="456" t="s">
        <v>1430</v>
      </c>
      <c r="AL201" s="456">
        <v>6</v>
      </c>
      <c r="AM201" s="456">
        <v>39.6</v>
      </c>
      <c r="AN201" s="458">
        <v>-9.2</v>
      </c>
    </row>
    <row r="202" s="309" customFormat="1" ht="20.2" customHeight="1" spans="1:40">
      <c r="A202" s="432" t="s">
        <v>1431</v>
      </c>
      <c r="B202" s="462">
        <v>1</v>
      </c>
      <c r="C202" s="463" t="s">
        <v>1432</v>
      </c>
      <c r="D202" s="462" t="s">
        <v>1433</v>
      </c>
      <c r="E202" s="462" t="s">
        <v>1434</v>
      </c>
      <c r="F202" s="462" t="s">
        <v>1435</v>
      </c>
      <c r="G202" s="462">
        <v>506.1</v>
      </c>
      <c r="H202" s="462" t="s">
        <v>47</v>
      </c>
      <c r="I202" s="462">
        <v>16.1</v>
      </c>
      <c r="J202" s="462">
        <v>2.7</v>
      </c>
      <c r="K202" s="462">
        <v>5.6</v>
      </c>
      <c r="L202" s="462">
        <v>1</v>
      </c>
      <c r="M202" s="462">
        <v>83</v>
      </c>
      <c r="N202" s="462">
        <v>31.8</v>
      </c>
      <c r="O202" s="462">
        <v>26.4</v>
      </c>
      <c r="P202" s="462">
        <v>28.5</v>
      </c>
      <c r="Q202" s="462">
        <v>73</v>
      </c>
      <c r="R202" s="462">
        <v>27.9</v>
      </c>
      <c r="S202" s="462">
        <v>1.2</v>
      </c>
      <c r="T202" s="462" t="s">
        <v>80</v>
      </c>
      <c r="U202" s="462" t="s">
        <v>848</v>
      </c>
      <c r="V202" s="462">
        <v>2</v>
      </c>
      <c r="W202" s="462">
        <v>0.9</v>
      </c>
      <c r="X202" s="462" t="s">
        <v>855</v>
      </c>
      <c r="Y202" s="462" t="s">
        <v>1436</v>
      </c>
      <c r="Z202" s="462">
        <v>1.9</v>
      </c>
      <c r="AA202" s="462" t="s">
        <v>855</v>
      </c>
      <c r="AB202" s="462" t="s">
        <v>733</v>
      </c>
      <c r="AC202" s="462">
        <v>17</v>
      </c>
      <c r="AD202" s="462" t="s">
        <v>577</v>
      </c>
      <c r="AE202" s="462">
        <v>963.7</v>
      </c>
      <c r="AF202" s="462">
        <v>948</v>
      </c>
      <c r="AG202" s="462">
        <v>0</v>
      </c>
      <c r="AH202" s="462" t="s">
        <v>577</v>
      </c>
      <c r="AI202" s="462" t="s">
        <v>577</v>
      </c>
      <c r="AJ202" s="462">
        <v>69</v>
      </c>
      <c r="AK202" s="462" t="s">
        <v>1242</v>
      </c>
      <c r="AL202" s="462">
        <v>6.2</v>
      </c>
      <c r="AM202" s="462">
        <v>36.7</v>
      </c>
      <c r="AN202" s="464">
        <v>-5.9</v>
      </c>
    </row>
    <row r="203" ht="20.2" customHeight="1" spans="1:40">
      <c r="A203" s="372"/>
      <c r="B203" s="361">
        <v>2</v>
      </c>
      <c r="C203" s="357" t="s">
        <v>1437</v>
      </c>
      <c r="D203" s="358" t="s">
        <v>1438</v>
      </c>
      <c r="E203" s="257" t="s">
        <v>1439</v>
      </c>
      <c r="F203" s="257" t="s">
        <v>1440</v>
      </c>
      <c r="G203" s="257">
        <v>492.4</v>
      </c>
      <c r="H203" s="390" t="s">
        <v>47</v>
      </c>
      <c r="I203" s="257">
        <v>16.1</v>
      </c>
      <c r="J203" s="257">
        <v>2.2</v>
      </c>
      <c r="K203" s="257">
        <v>5.2</v>
      </c>
      <c r="L203" s="257">
        <v>0.5</v>
      </c>
      <c r="M203" s="257">
        <v>64</v>
      </c>
      <c r="N203" s="257">
        <v>33.3</v>
      </c>
      <c r="O203" s="257">
        <v>25.8</v>
      </c>
      <c r="P203" s="257">
        <v>29.5</v>
      </c>
      <c r="Q203" s="257">
        <v>64</v>
      </c>
      <c r="R203" s="257">
        <v>28.8</v>
      </c>
      <c r="S203" s="257">
        <v>1.2</v>
      </c>
      <c r="T203" s="257" t="s">
        <v>121</v>
      </c>
      <c r="U203" s="257" t="s">
        <v>1441</v>
      </c>
      <c r="V203" s="257">
        <v>1.6</v>
      </c>
      <c r="W203" s="257">
        <v>1.3</v>
      </c>
      <c r="X203" s="257" t="s">
        <v>414</v>
      </c>
      <c r="Y203" s="257" t="s">
        <v>1238</v>
      </c>
      <c r="Z203" s="257">
        <v>2.8</v>
      </c>
      <c r="AA203" s="257" t="s">
        <v>50</v>
      </c>
      <c r="AB203" s="257" t="s">
        <v>848</v>
      </c>
      <c r="AC203" s="257">
        <v>24</v>
      </c>
      <c r="AD203" s="257" t="s">
        <v>577</v>
      </c>
      <c r="AE203" s="257">
        <v>965.4</v>
      </c>
      <c r="AF203" s="257">
        <v>949.4</v>
      </c>
      <c r="AG203" s="257">
        <v>7</v>
      </c>
      <c r="AH203" s="257" t="s">
        <v>1442</v>
      </c>
      <c r="AI203" s="257">
        <v>4.9</v>
      </c>
      <c r="AJ203" s="257">
        <v>75</v>
      </c>
      <c r="AK203" s="257" t="s">
        <v>1443</v>
      </c>
      <c r="AL203" s="257">
        <v>6.1</v>
      </c>
      <c r="AM203" s="257">
        <v>37.9</v>
      </c>
      <c r="AN203" s="270">
        <v>-8.2</v>
      </c>
    </row>
    <row r="204" ht="20.2" customHeight="1" spans="1:40">
      <c r="A204" s="372"/>
      <c r="B204" s="361">
        <v>11</v>
      </c>
      <c r="C204" s="357" t="s">
        <v>1444</v>
      </c>
      <c r="D204" s="358" t="s">
        <v>1445</v>
      </c>
      <c r="E204" s="257" t="s">
        <v>1446</v>
      </c>
      <c r="F204" s="257" t="s">
        <v>1447</v>
      </c>
      <c r="G204" s="257">
        <v>2615.7</v>
      </c>
      <c r="H204" s="257" t="s">
        <v>47</v>
      </c>
      <c r="I204" s="257">
        <v>7.1</v>
      </c>
      <c r="J204" s="257">
        <v>-6.5</v>
      </c>
      <c r="K204" s="257">
        <v>-2.2</v>
      </c>
      <c r="L204" s="257">
        <v>-8.3</v>
      </c>
      <c r="M204" s="257">
        <v>65</v>
      </c>
      <c r="N204" s="257">
        <v>22.8</v>
      </c>
      <c r="O204" s="257">
        <v>16.3</v>
      </c>
      <c r="P204" s="257">
        <v>19.5</v>
      </c>
      <c r="Q204" s="257">
        <v>64</v>
      </c>
      <c r="R204" s="257">
        <v>18.1</v>
      </c>
      <c r="S204" s="257">
        <v>2.9</v>
      </c>
      <c r="T204" s="257" t="s">
        <v>121</v>
      </c>
      <c r="U204" s="257" t="s">
        <v>1371</v>
      </c>
      <c r="V204" s="257">
        <v>5.5</v>
      </c>
      <c r="W204" s="257">
        <v>3.1</v>
      </c>
      <c r="X204" s="257" t="s">
        <v>636</v>
      </c>
      <c r="Y204" s="257" t="s">
        <v>1448</v>
      </c>
      <c r="Z204" s="257">
        <v>5.6</v>
      </c>
      <c r="AA204" s="257" t="s">
        <v>636</v>
      </c>
      <c r="AB204" s="257" t="s">
        <v>1449</v>
      </c>
      <c r="AC204" s="257">
        <v>45</v>
      </c>
      <c r="AD204" s="257" t="s">
        <v>577</v>
      </c>
      <c r="AE204" s="257">
        <v>741.6</v>
      </c>
      <c r="AF204" s="257">
        <v>742.4</v>
      </c>
      <c r="AG204" s="257">
        <v>145</v>
      </c>
      <c r="AH204" s="257" t="s">
        <v>441</v>
      </c>
      <c r="AI204" s="257">
        <v>0.3</v>
      </c>
      <c r="AJ204" s="257">
        <v>187</v>
      </c>
      <c r="AK204" s="257" t="s">
        <v>1450</v>
      </c>
      <c r="AL204" s="257">
        <v>1.7</v>
      </c>
      <c r="AM204" s="257">
        <v>29.4</v>
      </c>
      <c r="AN204" s="270">
        <v>-14.1</v>
      </c>
    </row>
    <row r="205" ht="20.2" customHeight="1" spans="1:40">
      <c r="A205" s="372"/>
      <c r="B205" s="361">
        <v>15</v>
      </c>
      <c r="C205" s="357" t="s">
        <v>1451</v>
      </c>
      <c r="D205" s="358" t="s">
        <v>1452</v>
      </c>
      <c r="E205" s="257" t="s">
        <v>1453</v>
      </c>
      <c r="F205" s="257" t="s">
        <v>1454</v>
      </c>
      <c r="G205" s="257">
        <v>3408</v>
      </c>
      <c r="H205" s="257" t="s">
        <v>47</v>
      </c>
      <c r="I205" s="261">
        <v>17.8</v>
      </c>
      <c r="J205" s="257">
        <v>4.5</v>
      </c>
      <c r="K205" s="257">
        <v>7.8</v>
      </c>
      <c r="L205" s="257">
        <v>2.8</v>
      </c>
      <c r="M205" s="257">
        <v>85</v>
      </c>
      <c r="N205" s="257">
        <v>33.8</v>
      </c>
      <c r="O205" s="257">
        <v>27.3</v>
      </c>
      <c r="P205" s="257">
        <v>30.2</v>
      </c>
      <c r="Q205" s="257">
        <v>67</v>
      </c>
      <c r="R205" s="257">
        <v>30</v>
      </c>
      <c r="S205" s="257">
        <v>0.9</v>
      </c>
      <c r="T205" s="257" t="s">
        <v>573</v>
      </c>
      <c r="U205" s="257" t="s">
        <v>1455</v>
      </c>
      <c r="V205" s="257">
        <v>2.4</v>
      </c>
      <c r="W205" s="257">
        <v>0.6</v>
      </c>
      <c r="X205" s="257" t="s">
        <v>395</v>
      </c>
      <c r="Y205" s="257" t="s">
        <v>1456</v>
      </c>
      <c r="Z205" s="257">
        <v>1.6</v>
      </c>
      <c r="AA205" s="257" t="s">
        <v>134</v>
      </c>
      <c r="AB205" s="257" t="s">
        <v>1457</v>
      </c>
      <c r="AC205" s="257">
        <v>11</v>
      </c>
      <c r="AD205" s="257" t="s">
        <v>577</v>
      </c>
      <c r="AE205" s="257">
        <v>982.4</v>
      </c>
      <c r="AF205" s="257">
        <v>965.4</v>
      </c>
      <c r="AG205" s="257">
        <v>0</v>
      </c>
      <c r="AH205" s="257" t="s">
        <v>577</v>
      </c>
      <c r="AI205" s="257" t="s">
        <v>577</v>
      </c>
      <c r="AJ205" s="257">
        <v>32</v>
      </c>
      <c r="AK205" s="257" t="s">
        <v>1458</v>
      </c>
      <c r="AL205" s="257">
        <v>7.7</v>
      </c>
      <c r="AM205" s="257">
        <v>39.5</v>
      </c>
      <c r="AN205" s="270">
        <v>-1.7</v>
      </c>
    </row>
    <row r="206" ht="20.2" customHeight="1" spans="1:40">
      <c r="A206" s="372"/>
      <c r="B206" s="361">
        <v>12</v>
      </c>
      <c r="C206" s="357" t="s">
        <v>1459</v>
      </c>
      <c r="D206" s="358" t="s">
        <v>1460</v>
      </c>
      <c r="E206" s="257" t="s">
        <v>1461</v>
      </c>
      <c r="F206" s="257" t="s">
        <v>1462</v>
      </c>
      <c r="G206" s="257">
        <v>309.3</v>
      </c>
      <c r="H206" s="257" t="s">
        <v>47</v>
      </c>
      <c r="I206" s="257">
        <v>17.3</v>
      </c>
      <c r="J206" s="257">
        <v>3.6</v>
      </c>
      <c r="K206" s="257">
        <v>6.4</v>
      </c>
      <c r="L206" s="257">
        <v>1.9</v>
      </c>
      <c r="M206" s="257">
        <v>85</v>
      </c>
      <c r="N206" s="257">
        <v>35.3</v>
      </c>
      <c r="O206" s="257">
        <v>27.1</v>
      </c>
      <c r="P206" s="257">
        <v>31.3</v>
      </c>
      <c r="Q206" s="257">
        <v>61</v>
      </c>
      <c r="R206" s="257">
        <v>31.4</v>
      </c>
      <c r="S206" s="257">
        <v>1.1</v>
      </c>
      <c r="T206" s="257" t="s">
        <v>80</v>
      </c>
      <c r="U206" s="257" t="s">
        <v>1362</v>
      </c>
      <c r="V206" s="257">
        <v>2.1</v>
      </c>
      <c r="W206" s="257">
        <v>0.8</v>
      </c>
      <c r="X206" s="257" t="s">
        <v>188</v>
      </c>
      <c r="Y206" s="257" t="s">
        <v>1463</v>
      </c>
      <c r="Z206" s="257">
        <v>1.7</v>
      </c>
      <c r="AA206" s="257" t="s">
        <v>188</v>
      </c>
      <c r="AB206" s="257" t="s">
        <v>1464</v>
      </c>
      <c r="AC206" s="257">
        <v>11</v>
      </c>
      <c r="AD206" s="257" t="s">
        <v>577</v>
      </c>
      <c r="AE206" s="257">
        <v>986.7</v>
      </c>
      <c r="AF206" s="257">
        <v>969.1</v>
      </c>
      <c r="AG206" s="257">
        <v>0</v>
      </c>
      <c r="AH206" s="257" t="s">
        <v>577</v>
      </c>
      <c r="AI206" s="257" t="s">
        <v>577</v>
      </c>
      <c r="AJ206" s="257">
        <v>62</v>
      </c>
      <c r="AK206" s="257" t="s">
        <v>1465</v>
      </c>
      <c r="AL206" s="257">
        <v>6.8</v>
      </c>
      <c r="AM206" s="257">
        <v>41.2</v>
      </c>
      <c r="AN206" s="270">
        <v>-3.4</v>
      </c>
    </row>
    <row r="207" ht="20.2" customHeight="1" spans="1:40">
      <c r="A207" s="372"/>
      <c r="B207" s="361">
        <v>6</v>
      </c>
      <c r="C207" s="357" t="s">
        <v>1466</v>
      </c>
      <c r="D207" s="358" t="s">
        <v>1467</v>
      </c>
      <c r="E207" s="257" t="s">
        <v>1468</v>
      </c>
      <c r="F207" s="257" t="s">
        <v>1469</v>
      </c>
      <c r="G207" s="257">
        <v>1590.9</v>
      </c>
      <c r="H207" s="257" t="s">
        <v>47</v>
      </c>
      <c r="I207" s="257">
        <v>16.9</v>
      </c>
      <c r="J207" s="257">
        <v>4.7</v>
      </c>
      <c r="K207" s="257">
        <v>9.6</v>
      </c>
      <c r="L207" s="257">
        <v>2</v>
      </c>
      <c r="M207" s="257">
        <v>52</v>
      </c>
      <c r="N207" s="257">
        <v>30.7</v>
      </c>
      <c r="O207" s="257">
        <v>21.8</v>
      </c>
      <c r="P207" s="257">
        <v>26.3</v>
      </c>
      <c r="Q207" s="257">
        <v>63</v>
      </c>
      <c r="R207" s="257">
        <v>26.6</v>
      </c>
      <c r="S207" s="257">
        <v>1.2</v>
      </c>
      <c r="T207" s="257" t="s">
        <v>80</v>
      </c>
      <c r="U207" s="257" t="s">
        <v>1470</v>
      </c>
      <c r="V207" s="257">
        <v>2.2</v>
      </c>
      <c r="W207" s="257">
        <v>1.7</v>
      </c>
      <c r="X207" s="257" t="s">
        <v>188</v>
      </c>
      <c r="Y207" s="257" t="s">
        <v>1471</v>
      </c>
      <c r="Z207" s="257">
        <v>2.5</v>
      </c>
      <c r="AA207" s="257" t="s">
        <v>188</v>
      </c>
      <c r="AB207" s="257" t="s">
        <v>1472</v>
      </c>
      <c r="AC207" s="257">
        <v>69</v>
      </c>
      <c r="AD207" s="257" t="s">
        <v>577</v>
      </c>
      <c r="AE207" s="257">
        <v>838.5</v>
      </c>
      <c r="AF207" s="257">
        <v>834.9</v>
      </c>
      <c r="AG207" s="257">
        <v>0</v>
      </c>
      <c r="AH207" s="257" t="s">
        <v>577</v>
      </c>
      <c r="AI207" s="257" t="s">
        <v>577</v>
      </c>
      <c r="AJ207" s="257">
        <v>0</v>
      </c>
      <c r="AK207" s="257" t="s">
        <v>577</v>
      </c>
      <c r="AL207" s="257" t="s">
        <v>577</v>
      </c>
      <c r="AM207" s="257">
        <v>36.6</v>
      </c>
      <c r="AN207" s="270">
        <v>-3.8</v>
      </c>
    </row>
    <row r="208" ht="20.2" customHeight="1" spans="1:40">
      <c r="A208" s="372"/>
      <c r="B208" s="361">
        <v>7</v>
      </c>
      <c r="C208" s="357" t="s">
        <v>1473</v>
      </c>
      <c r="D208" s="358" t="s">
        <v>1474</v>
      </c>
      <c r="E208" s="257" t="s">
        <v>1475</v>
      </c>
      <c r="F208" s="257" t="s">
        <v>1476</v>
      </c>
      <c r="G208" s="257">
        <v>278.2</v>
      </c>
      <c r="H208" s="257" t="s">
        <v>47</v>
      </c>
      <c r="I208" s="257">
        <v>17.4</v>
      </c>
      <c r="J208" s="257">
        <v>3.9</v>
      </c>
      <c r="K208" s="257">
        <v>6.5</v>
      </c>
      <c r="L208" s="257">
        <v>2</v>
      </c>
      <c r="M208" s="257">
        <v>86</v>
      </c>
      <c r="N208" s="257">
        <v>34.7</v>
      </c>
      <c r="O208" s="257">
        <v>27.5</v>
      </c>
      <c r="P208" s="257">
        <v>31.1</v>
      </c>
      <c r="Q208" s="257">
        <v>63</v>
      </c>
      <c r="R208" s="257">
        <v>30.7</v>
      </c>
      <c r="S208" s="257">
        <v>0.8</v>
      </c>
      <c r="T208" s="257" t="s">
        <v>80</v>
      </c>
      <c r="U208" s="257" t="s">
        <v>1477</v>
      </c>
      <c r="V208" s="257">
        <v>2</v>
      </c>
      <c r="W208" s="257">
        <v>0.4</v>
      </c>
      <c r="X208" s="257" t="s">
        <v>188</v>
      </c>
      <c r="Y208" s="257" t="s">
        <v>1478</v>
      </c>
      <c r="Z208" s="257">
        <v>1.9</v>
      </c>
      <c r="AA208" s="257" t="s">
        <v>188</v>
      </c>
      <c r="AB208" s="257" t="s">
        <v>1479</v>
      </c>
      <c r="AC208" s="257">
        <v>13</v>
      </c>
      <c r="AD208" s="257" t="s">
        <v>577</v>
      </c>
      <c r="AE208" s="257">
        <v>990</v>
      </c>
      <c r="AF208" s="257">
        <v>972</v>
      </c>
      <c r="AG208" s="257">
        <v>0</v>
      </c>
      <c r="AH208" s="257" t="s">
        <v>577</v>
      </c>
      <c r="AI208" s="257" t="s">
        <v>577</v>
      </c>
      <c r="AJ208" s="257">
        <v>62</v>
      </c>
      <c r="AK208" s="257" t="s">
        <v>1465</v>
      </c>
      <c r="AL208" s="257">
        <v>6.9</v>
      </c>
      <c r="AM208" s="257">
        <v>39.5</v>
      </c>
      <c r="AN208" s="270">
        <v>-3.8</v>
      </c>
    </row>
    <row r="209" ht="20.2" customHeight="1" spans="1:40">
      <c r="A209" s="372"/>
      <c r="B209" s="361">
        <v>8</v>
      </c>
      <c r="C209" s="357" t="s">
        <v>1480</v>
      </c>
      <c r="D209" s="358" t="s">
        <v>1481</v>
      </c>
      <c r="E209" s="257" t="s">
        <v>1482</v>
      </c>
      <c r="F209" s="257" t="s">
        <v>1483</v>
      </c>
      <c r="G209" s="257">
        <v>347.1</v>
      </c>
      <c r="H209" s="257" t="s">
        <v>47</v>
      </c>
      <c r="I209" s="257">
        <v>17.6</v>
      </c>
      <c r="J209" s="257">
        <v>4.1</v>
      </c>
      <c r="K209" s="257">
        <v>7.2</v>
      </c>
      <c r="L209" s="257">
        <v>2.1</v>
      </c>
      <c r="M209" s="257">
        <v>83</v>
      </c>
      <c r="N209" s="257">
        <v>34.3</v>
      </c>
      <c r="O209" s="257">
        <v>27.1</v>
      </c>
      <c r="P209" s="257">
        <v>30.4</v>
      </c>
      <c r="Q209" s="257">
        <v>66</v>
      </c>
      <c r="R209" s="257">
        <v>30.8</v>
      </c>
      <c r="S209" s="257">
        <v>1.8</v>
      </c>
      <c r="T209" s="257" t="s">
        <v>1484</v>
      </c>
      <c r="U209" s="257" t="s">
        <v>1485</v>
      </c>
      <c r="V209" s="257">
        <v>2.7</v>
      </c>
      <c r="W209" s="257">
        <v>1.4</v>
      </c>
      <c r="X209" s="257" t="s">
        <v>188</v>
      </c>
      <c r="Y209" s="257" t="s">
        <v>324</v>
      </c>
      <c r="Z209" s="257">
        <v>2.1</v>
      </c>
      <c r="AA209" s="257" t="s">
        <v>50</v>
      </c>
      <c r="AB209" s="257" t="s">
        <v>83</v>
      </c>
      <c r="AC209" s="257">
        <v>13</v>
      </c>
      <c r="AD209" s="257" t="s">
        <v>577</v>
      </c>
      <c r="AE209" s="257">
        <v>980.9</v>
      </c>
      <c r="AF209" s="257">
        <v>963.9</v>
      </c>
      <c r="AG209" s="257">
        <v>0</v>
      </c>
      <c r="AH209" s="257" t="s">
        <v>577</v>
      </c>
      <c r="AI209" s="257" t="s">
        <v>577</v>
      </c>
      <c r="AJ209" s="257">
        <v>50</v>
      </c>
      <c r="AK209" s="257" t="s">
        <v>1105</v>
      </c>
      <c r="AL209" s="257">
        <v>7.3</v>
      </c>
      <c r="AM209" s="257">
        <v>40.1</v>
      </c>
      <c r="AN209" s="270">
        <v>-2.7</v>
      </c>
    </row>
    <row r="210" ht="20.2" customHeight="1" spans="1:40">
      <c r="A210" s="372"/>
      <c r="B210" s="361">
        <v>9</v>
      </c>
      <c r="C210" s="357" t="s">
        <v>1486</v>
      </c>
      <c r="D210" s="358" t="s">
        <v>1487</v>
      </c>
      <c r="E210" s="257" t="s">
        <v>1488</v>
      </c>
      <c r="F210" s="257" t="s">
        <v>1489</v>
      </c>
      <c r="G210" s="261">
        <v>424.2</v>
      </c>
      <c r="H210" s="261" t="s">
        <v>47</v>
      </c>
      <c r="I210" s="257">
        <v>17.2</v>
      </c>
      <c r="J210" s="257">
        <v>3.9</v>
      </c>
      <c r="K210" s="257">
        <v>7.1</v>
      </c>
      <c r="L210" s="257">
        <v>2.2</v>
      </c>
      <c r="M210" s="257">
        <v>82</v>
      </c>
      <c r="N210" s="257">
        <v>32.8</v>
      </c>
      <c r="O210" s="257">
        <v>26.6</v>
      </c>
      <c r="P210" s="257">
        <v>29.2</v>
      </c>
      <c r="Q210" s="257">
        <v>71</v>
      </c>
      <c r="R210" s="257">
        <v>29</v>
      </c>
      <c r="S210" s="257">
        <v>1.4</v>
      </c>
      <c r="T210" s="257" t="s">
        <v>80</v>
      </c>
      <c r="U210" s="257" t="s">
        <v>1490</v>
      </c>
      <c r="V210" s="257">
        <v>2.2</v>
      </c>
      <c r="W210" s="257">
        <v>1</v>
      </c>
      <c r="X210" s="257" t="s">
        <v>188</v>
      </c>
      <c r="Y210" s="257" t="s">
        <v>1491</v>
      </c>
      <c r="Z210" s="257">
        <v>1.9</v>
      </c>
      <c r="AA210" s="257" t="s">
        <v>188</v>
      </c>
      <c r="AB210" s="257" t="s">
        <v>1334</v>
      </c>
      <c r="AC210" s="257">
        <v>13</v>
      </c>
      <c r="AD210" s="257" t="s">
        <v>577</v>
      </c>
      <c r="AE210" s="257">
        <v>972.7</v>
      </c>
      <c r="AF210" s="257">
        <v>956.4</v>
      </c>
      <c r="AG210" s="257">
        <v>0</v>
      </c>
      <c r="AH210" s="257" t="s">
        <v>577</v>
      </c>
      <c r="AI210" s="257" t="s">
        <v>577</v>
      </c>
      <c r="AJ210" s="257">
        <v>53</v>
      </c>
      <c r="AK210" s="257" t="s">
        <v>1492</v>
      </c>
      <c r="AL210" s="257">
        <v>7.2</v>
      </c>
      <c r="AM210" s="257">
        <v>36.8</v>
      </c>
      <c r="AN210" s="270">
        <v>-2.9</v>
      </c>
    </row>
    <row r="211" ht="20.2" customHeight="1" spans="1:40">
      <c r="A211" s="372"/>
      <c r="B211" s="361">
        <v>10</v>
      </c>
      <c r="C211" s="357" t="s">
        <v>1493</v>
      </c>
      <c r="D211" s="358" t="s">
        <v>1494</v>
      </c>
      <c r="E211" s="257" t="s">
        <v>1495</v>
      </c>
      <c r="F211" s="257" t="s">
        <v>1496</v>
      </c>
      <c r="G211" s="261">
        <v>334.8</v>
      </c>
      <c r="H211" s="261" t="s">
        <v>47</v>
      </c>
      <c r="I211" s="257">
        <v>17.7</v>
      </c>
      <c r="J211" s="257">
        <v>4.5</v>
      </c>
      <c r="K211" s="257">
        <v>7.7</v>
      </c>
      <c r="L211" s="257">
        <v>2.6</v>
      </c>
      <c r="M211" s="257">
        <v>67</v>
      </c>
      <c r="N211" s="257">
        <v>34.6</v>
      </c>
      <c r="O211" s="257">
        <v>27.1</v>
      </c>
      <c r="P211" s="257">
        <v>30.5</v>
      </c>
      <c r="Q211" s="257">
        <v>86</v>
      </c>
      <c r="R211" s="257">
        <v>31</v>
      </c>
      <c r="S211" s="257">
        <v>1.7</v>
      </c>
      <c r="T211" s="257" t="s">
        <v>285</v>
      </c>
      <c r="U211" s="257" t="s">
        <v>323</v>
      </c>
      <c r="V211" s="257">
        <v>1.9</v>
      </c>
      <c r="W211" s="257">
        <v>1.2</v>
      </c>
      <c r="X211" s="257" t="s">
        <v>200</v>
      </c>
      <c r="Y211" s="257" t="s">
        <v>1032</v>
      </c>
      <c r="Z211" s="257">
        <v>2</v>
      </c>
      <c r="AA211" s="257" t="s">
        <v>200</v>
      </c>
      <c r="AB211" s="257" t="s">
        <v>253</v>
      </c>
      <c r="AC211" s="257">
        <v>11</v>
      </c>
      <c r="AD211" s="257" t="s">
        <v>577</v>
      </c>
      <c r="AE211" s="257">
        <v>983</v>
      </c>
      <c r="AF211" s="257">
        <v>965.8</v>
      </c>
      <c r="AG211" s="257">
        <v>0</v>
      </c>
      <c r="AH211" s="257" t="s">
        <v>577</v>
      </c>
      <c r="AI211" s="257" t="s">
        <v>577</v>
      </c>
      <c r="AJ211" s="257">
        <v>33</v>
      </c>
      <c r="AK211" s="257" t="s">
        <v>1497</v>
      </c>
      <c r="AL211" s="257">
        <v>7.7</v>
      </c>
      <c r="AM211" s="257">
        <v>39.8</v>
      </c>
      <c r="AN211" s="270">
        <v>-1.9</v>
      </c>
    </row>
    <row r="212" ht="20.2" customHeight="1" spans="1:40">
      <c r="A212" s="372"/>
      <c r="B212" s="361">
        <v>11</v>
      </c>
      <c r="C212" s="357" t="s">
        <v>1498</v>
      </c>
      <c r="D212" s="358" t="s">
        <v>1498</v>
      </c>
      <c r="E212" s="257" t="s">
        <v>1499</v>
      </c>
      <c r="F212" s="257" t="s">
        <v>1500</v>
      </c>
      <c r="G212" s="257">
        <v>470.8</v>
      </c>
      <c r="H212" s="257" t="s">
        <v>47</v>
      </c>
      <c r="I212" s="257">
        <v>16.2</v>
      </c>
      <c r="J212" s="257">
        <v>2.4</v>
      </c>
      <c r="K212" s="257">
        <v>5.3</v>
      </c>
      <c r="L212" s="257">
        <v>0.7</v>
      </c>
      <c r="M212" s="257">
        <v>79</v>
      </c>
      <c r="N212" s="257">
        <v>32.6</v>
      </c>
      <c r="O212" s="257">
        <v>26.4</v>
      </c>
      <c r="P212" s="257">
        <v>29.2</v>
      </c>
      <c r="Q212" s="257">
        <v>70</v>
      </c>
      <c r="R212" s="257">
        <v>28.5</v>
      </c>
      <c r="S212" s="257">
        <v>1.1</v>
      </c>
      <c r="T212" s="257" t="s">
        <v>198</v>
      </c>
      <c r="U212" s="257" t="s">
        <v>1501</v>
      </c>
      <c r="V212" s="257">
        <v>2.5</v>
      </c>
      <c r="W212" s="257">
        <v>0.9</v>
      </c>
      <c r="X212" s="257" t="s">
        <v>731</v>
      </c>
      <c r="Y212" s="257" t="s">
        <v>1502</v>
      </c>
      <c r="Z212" s="257">
        <v>2.7</v>
      </c>
      <c r="AA212" s="257" t="s">
        <v>731</v>
      </c>
      <c r="AB212" s="257" t="s">
        <v>1503</v>
      </c>
      <c r="AC212" s="257">
        <v>19</v>
      </c>
      <c r="AD212" s="257" t="s">
        <v>577</v>
      </c>
      <c r="AE212" s="257">
        <v>967.3</v>
      </c>
      <c r="AF212" s="257">
        <v>951.2</v>
      </c>
      <c r="AG212" s="257">
        <v>0</v>
      </c>
      <c r="AH212" s="257" t="s">
        <v>577</v>
      </c>
      <c r="AI212" s="257" t="s">
        <v>577</v>
      </c>
      <c r="AJ212" s="257">
        <v>73</v>
      </c>
      <c r="AK212" s="257" t="s">
        <v>1504</v>
      </c>
      <c r="AL212" s="257">
        <v>6.1</v>
      </c>
      <c r="AM212" s="257">
        <v>37.2</v>
      </c>
      <c r="AN212" s="270">
        <v>-7.3</v>
      </c>
    </row>
    <row r="213" ht="20.2" customHeight="1" spans="1:40">
      <c r="A213" s="372"/>
      <c r="B213" s="361">
        <v>12</v>
      </c>
      <c r="C213" s="357" t="s">
        <v>1505</v>
      </c>
      <c r="D213" s="358" t="s">
        <v>1505</v>
      </c>
      <c r="E213" s="257" t="s">
        <v>1506</v>
      </c>
      <c r="F213" s="257" t="s">
        <v>1507</v>
      </c>
      <c r="G213" s="257">
        <v>344.9</v>
      </c>
      <c r="H213" s="257" t="s">
        <v>47</v>
      </c>
      <c r="I213" s="257">
        <v>17.1</v>
      </c>
      <c r="J213" s="257">
        <v>3.5</v>
      </c>
      <c r="K213" s="257">
        <v>6.2</v>
      </c>
      <c r="L213" s="257">
        <v>2.1</v>
      </c>
      <c r="M213" s="257">
        <v>82</v>
      </c>
      <c r="N213" s="257">
        <v>35.4</v>
      </c>
      <c r="O213" s="257">
        <v>27.1</v>
      </c>
      <c r="P213" s="257">
        <v>31.8</v>
      </c>
      <c r="Q213" s="257">
        <v>59</v>
      </c>
      <c r="R213" s="257">
        <v>31</v>
      </c>
      <c r="S213" s="257">
        <v>1.4</v>
      </c>
      <c r="T213" s="257" t="s">
        <v>198</v>
      </c>
      <c r="U213" s="257" t="s">
        <v>1508</v>
      </c>
      <c r="V213" s="257">
        <v>2.4</v>
      </c>
      <c r="W213" s="257">
        <v>1</v>
      </c>
      <c r="X213" s="257" t="s">
        <v>395</v>
      </c>
      <c r="Y213" s="257" t="s">
        <v>1509</v>
      </c>
      <c r="Z213" s="257">
        <v>1.9</v>
      </c>
      <c r="AA213" s="257" t="s">
        <v>395</v>
      </c>
      <c r="AB213" s="257" t="s">
        <v>1510</v>
      </c>
      <c r="AC213" s="257">
        <v>13</v>
      </c>
      <c r="AD213" s="257" t="s">
        <v>577</v>
      </c>
      <c r="AE213" s="257">
        <v>985</v>
      </c>
      <c r="AF213" s="257">
        <v>967.5</v>
      </c>
      <c r="AG213" s="257">
        <v>0</v>
      </c>
      <c r="AH213" s="257" t="s">
        <v>577</v>
      </c>
      <c r="AI213" s="257" t="s">
        <v>577</v>
      </c>
      <c r="AJ213" s="257">
        <v>65</v>
      </c>
      <c r="AK213" s="257" t="s">
        <v>814</v>
      </c>
      <c r="AL213" s="257">
        <v>6.6</v>
      </c>
      <c r="AM213" s="257">
        <v>41.2</v>
      </c>
      <c r="AN213" s="270">
        <v>-4.5</v>
      </c>
    </row>
    <row r="214" ht="20.2" customHeight="1" spans="1:40">
      <c r="A214" s="372"/>
      <c r="B214" s="361">
        <v>13</v>
      </c>
      <c r="C214" s="357" t="s">
        <v>1511</v>
      </c>
      <c r="D214" s="358" t="s">
        <v>1511</v>
      </c>
      <c r="E214" s="257" t="s">
        <v>1169</v>
      </c>
      <c r="F214" s="257" t="s">
        <v>1512</v>
      </c>
      <c r="G214" s="257">
        <v>627.6</v>
      </c>
      <c r="H214" s="257" t="s">
        <v>47</v>
      </c>
      <c r="I214" s="257">
        <v>16.2</v>
      </c>
      <c r="J214" s="257">
        <v>2.9</v>
      </c>
      <c r="K214" s="257">
        <v>6.3</v>
      </c>
      <c r="L214" s="257">
        <v>1.1</v>
      </c>
      <c r="M214" s="257">
        <v>80</v>
      </c>
      <c r="N214" s="257">
        <v>32.1</v>
      </c>
      <c r="O214" s="257">
        <v>25.8</v>
      </c>
      <c r="P214" s="257">
        <v>28.6</v>
      </c>
      <c r="Q214" s="257">
        <v>70</v>
      </c>
      <c r="R214" s="257">
        <v>27.9</v>
      </c>
      <c r="S214" s="257">
        <v>1.8</v>
      </c>
      <c r="T214" s="257" t="s">
        <v>285</v>
      </c>
      <c r="U214" s="257" t="s">
        <v>1513</v>
      </c>
      <c r="V214" s="257">
        <v>2.9</v>
      </c>
      <c r="W214" s="257">
        <v>1.1</v>
      </c>
      <c r="X214" s="257" t="s">
        <v>731</v>
      </c>
      <c r="Y214" s="257" t="s">
        <v>1436</v>
      </c>
      <c r="Z214" s="257">
        <v>2.1</v>
      </c>
      <c r="AA214" s="257" t="s">
        <v>731</v>
      </c>
      <c r="AB214" s="257" t="s">
        <v>1514</v>
      </c>
      <c r="AC214" s="257">
        <v>16</v>
      </c>
      <c r="AD214" s="257" t="s">
        <v>577</v>
      </c>
      <c r="AE214" s="257">
        <v>949.7</v>
      </c>
      <c r="AF214" s="257">
        <v>935.4</v>
      </c>
      <c r="AG214" s="257">
        <v>0</v>
      </c>
      <c r="AH214" s="257" t="s">
        <v>577</v>
      </c>
      <c r="AI214" s="257" t="s">
        <v>577</v>
      </c>
      <c r="AJ214" s="257">
        <v>64</v>
      </c>
      <c r="AK214" s="257" t="s">
        <v>740</v>
      </c>
      <c r="AL214" s="257">
        <v>6.6</v>
      </c>
      <c r="AM214" s="257">
        <v>35.4</v>
      </c>
      <c r="AN214" s="270">
        <v>-3.9</v>
      </c>
    </row>
    <row r="215" ht="20.2" customHeight="1" spans="1:40">
      <c r="A215" s="372"/>
      <c r="B215" s="361">
        <v>14</v>
      </c>
      <c r="C215" s="357" t="s">
        <v>1515</v>
      </c>
      <c r="D215" s="358" t="s">
        <v>1515</v>
      </c>
      <c r="E215" s="257" t="s">
        <v>738</v>
      </c>
      <c r="F215" s="257" t="s">
        <v>1516</v>
      </c>
      <c r="G215" s="257">
        <v>417.7</v>
      </c>
      <c r="H215" s="257" t="s">
        <v>47</v>
      </c>
      <c r="I215" s="257">
        <v>16.9</v>
      </c>
      <c r="J215" s="257">
        <v>3.2</v>
      </c>
      <c r="K215" s="257">
        <v>5.8</v>
      </c>
      <c r="L215" s="257">
        <v>1.5</v>
      </c>
      <c r="M215" s="257">
        <v>82</v>
      </c>
      <c r="N215" s="257">
        <v>34.5</v>
      </c>
      <c r="O215" s="257">
        <v>26.9</v>
      </c>
      <c r="P215" s="257">
        <v>31.2</v>
      </c>
      <c r="Q215" s="257">
        <v>59</v>
      </c>
      <c r="R215" s="257">
        <v>30.3</v>
      </c>
      <c r="S215" s="257">
        <v>0.9</v>
      </c>
      <c r="T215" s="257" t="s">
        <v>48</v>
      </c>
      <c r="U215" s="257" t="s">
        <v>1517</v>
      </c>
      <c r="V215" s="257">
        <v>1.9</v>
      </c>
      <c r="W215" s="257">
        <v>0.6</v>
      </c>
      <c r="X215" s="257" t="s">
        <v>731</v>
      </c>
      <c r="Y215" s="257" t="s">
        <v>1518</v>
      </c>
      <c r="Z215" s="257">
        <v>1.7</v>
      </c>
      <c r="AA215" s="257" t="s">
        <v>52</v>
      </c>
      <c r="AB215" s="257" t="s">
        <v>1519</v>
      </c>
      <c r="AC215" s="257">
        <v>17</v>
      </c>
      <c r="AD215" s="257" t="s">
        <v>577</v>
      </c>
      <c r="AE215" s="257">
        <v>979.9</v>
      </c>
      <c r="AF215" s="257">
        <v>962.7</v>
      </c>
      <c r="AG215" s="257">
        <v>0</v>
      </c>
      <c r="AH215" s="257" t="s">
        <v>577</v>
      </c>
      <c r="AI215" s="257" t="s">
        <v>577</v>
      </c>
      <c r="AJ215" s="257">
        <v>67</v>
      </c>
      <c r="AK215" s="257" t="s">
        <v>1520</v>
      </c>
      <c r="AL215" s="257">
        <v>6.2</v>
      </c>
      <c r="AM215" s="257">
        <v>40.3</v>
      </c>
      <c r="AN215" s="270">
        <v>-5.3</v>
      </c>
    </row>
    <row r="216" ht="20.2" customHeight="1" spans="1:40">
      <c r="A216" s="372"/>
      <c r="B216" s="361">
        <v>15</v>
      </c>
      <c r="C216" s="357" t="s">
        <v>1521</v>
      </c>
      <c r="D216" s="358" t="s">
        <v>1521</v>
      </c>
      <c r="E216" s="257" t="s">
        <v>1522</v>
      </c>
      <c r="F216" s="257" t="s">
        <v>1523</v>
      </c>
      <c r="G216" s="257">
        <v>357</v>
      </c>
      <c r="H216" s="257" t="s">
        <v>47</v>
      </c>
      <c r="I216" s="261">
        <v>17.2</v>
      </c>
      <c r="J216" s="257">
        <v>3.6</v>
      </c>
      <c r="K216" s="257">
        <v>6.6</v>
      </c>
      <c r="L216" s="257">
        <v>1.3</v>
      </c>
      <c r="M216" s="257">
        <v>84</v>
      </c>
      <c r="N216" s="257">
        <v>33.7</v>
      </c>
      <c r="O216" s="257">
        <v>26.7</v>
      </c>
      <c r="P216" s="257">
        <v>30.2</v>
      </c>
      <c r="Q216" s="257">
        <v>65</v>
      </c>
      <c r="R216" s="257">
        <v>29.5</v>
      </c>
      <c r="S216" s="257">
        <v>1.3</v>
      </c>
      <c r="T216" s="257" t="s">
        <v>82</v>
      </c>
      <c r="U216" s="257" t="s">
        <v>1524</v>
      </c>
      <c r="V216" s="257">
        <v>2.1</v>
      </c>
      <c r="W216" s="257">
        <v>0.8</v>
      </c>
      <c r="X216" s="257" t="s">
        <v>395</v>
      </c>
      <c r="Y216" s="257" t="s">
        <v>1477</v>
      </c>
      <c r="Z216" s="257">
        <v>1.3</v>
      </c>
      <c r="AA216" s="257" t="s">
        <v>395</v>
      </c>
      <c r="AB216" s="257" t="s">
        <v>1525</v>
      </c>
      <c r="AC216" s="257">
        <v>16</v>
      </c>
      <c r="AD216" s="257" t="s">
        <v>577</v>
      </c>
      <c r="AE216" s="257">
        <v>980.3</v>
      </c>
      <c r="AF216" s="257">
        <v>962.9</v>
      </c>
      <c r="AG216" s="257">
        <v>0</v>
      </c>
      <c r="AH216" s="257" t="s">
        <v>577</v>
      </c>
      <c r="AI216" s="257" t="s">
        <v>577</v>
      </c>
      <c r="AJ216" s="257">
        <v>62</v>
      </c>
      <c r="AK216" s="257" t="s">
        <v>1526</v>
      </c>
      <c r="AL216" s="257">
        <v>6.9</v>
      </c>
      <c r="AM216" s="257">
        <v>39.2</v>
      </c>
      <c r="AN216" s="270">
        <v>-4</v>
      </c>
    </row>
    <row r="217" s="288" customFormat="1" ht="20.2" customHeight="1" spans="1:40">
      <c r="A217" s="399"/>
      <c r="B217" s="444">
        <v>16</v>
      </c>
      <c r="C217" s="357" t="s">
        <v>1527</v>
      </c>
      <c r="D217" s="358" t="s">
        <v>1528</v>
      </c>
      <c r="E217" s="358" t="s">
        <v>1529</v>
      </c>
      <c r="F217" s="358" t="s">
        <v>1530</v>
      </c>
      <c r="G217" s="358">
        <v>2664.4</v>
      </c>
      <c r="H217" s="358" t="s">
        <v>47</v>
      </c>
      <c r="I217" s="465">
        <v>8.6</v>
      </c>
      <c r="J217" s="358">
        <v>-4.1</v>
      </c>
      <c r="K217" s="358">
        <v>-0.6</v>
      </c>
      <c r="L217" s="358">
        <v>-6.1</v>
      </c>
      <c r="M217" s="358">
        <v>48</v>
      </c>
      <c r="N217" s="358">
        <v>27.3</v>
      </c>
      <c r="O217" s="358">
        <v>17.3</v>
      </c>
      <c r="P217" s="358">
        <v>22.4</v>
      </c>
      <c r="Q217" s="358">
        <v>83</v>
      </c>
      <c r="R217" s="358">
        <v>19.3</v>
      </c>
      <c r="S217" s="358">
        <v>1.1</v>
      </c>
      <c r="T217" s="358" t="s">
        <v>132</v>
      </c>
      <c r="U217" s="358" t="s">
        <v>1531</v>
      </c>
      <c r="V217" s="358">
        <v>3.1</v>
      </c>
      <c r="W217" s="358">
        <v>1</v>
      </c>
      <c r="X217" s="358" t="s">
        <v>134</v>
      </c>
      <c r="Y217" s="358" t="s">
        <v>1532</v>
      </c>
      <c r="Z217" s="358">
        <v>3.3</v>
      </c>
      <c r="AA217" s="358" t="s">
        <v>134</v>
      </c>
      <c r="AB217" s="358" t="s">
        <v>1533</v>
      </c>
      <c r="AC217" s="358">
        <v>62</v>
      </c>
      <c r="AD217" s="358">
        <v>25</v>
      </c>
      <c r="AE217" s="358">
        <v>733.3</v>
      </c>
      <c r="AF217" s="358">
        <v>734.7</v>
      </c>
      <c r="AG217" s="358">
        <v>122</v>
      </c>
      <c r="AH217" s="358" t="s">
        <v>1534</v>
      </c>
      <c r="AI217" s="358">
        <v>1.2</v>
      </c>
      <c r="AJ217" s="358">
        <v>162</v>
      </c>
      <c r="AK217" s="358" t="s">
        <v>1535</v>
      </c>
      <c r="AL217" s="358">
        <v>2.5</v>
      </c>
      <c r="AM217" s="358">
        <v>34.5</v>
      </c>
      <c r="AN217" s="359">
        <v>-16</v>
      </c>
    </row>
    <row r="218" s="294" customFormat="1" ht="20.2" customHeight="1" spans="1:40">
      <c r="A218" s="360" t="s">
        <v>1536</v>
      </c>
      <c r="B218" s="378">
        <v>1</v>
      </c>
      <c r="C218" s="385" t="s">
        <v>1537</v>
      </c>
      <c r="D218" s="378" t="s">
        <v>1538</v>
      </c>
      <c r="E218" s="378" t="s">
        <v>1539</v>
      </c>
      <c r="F218" s="378" t="s">
        <v>1540</v>
      </c>
      <c r="G218" s="378">
        <v>1074.3</v>
      </c>
      <c r="H218" s="378" t="s">
        <v>47</v>
      </c>
      <c r="I218" s="378">
        <v>15.3</v>
      </c>
      <c r="J218" s="378">
        <v>-0.3</v>
      </c>
      <c r="K218" s="378">
        <v>5</v>
      </c>
      <c r="L218" s="378">
        <v>-2.5</v>
      </c>
      <c r="M218" s="378">
        <v>80</v>
      </c>
      <c r="N218" s="378">
        <v>30.1</v>
      </c>
      <c r="O218" s="378">
        <v>23</v>
      </c>
      <c r="P218" s="378">
        <v>27.1</v>
      </c>
      <c r="Q218" s="378">
        <v>64</v>
      </c>
      <c r="R218" s="378">
        <v>26.5</v>
      </c>
      <c r="S218" s="378">
        <v>2.1</v>
      </c>
      <c r="T218" s="378" t="s">
        <v>130</v>
      </c>
      <c r="U218" s="378" t="s">
        <v>1541</v>
      </c>
      <c r="V218" s="378">
        <v>3</v>
      </c>
      <c r="W218" s="378">
        <v>2.1</v>
      </c>
      <c r="X218" s="378" t="s">
        <v>381</v>
      </c>
      <c r="Y218" s="378">
        <v>23</v>
      </c>
      <c r="Z218" s="378">
        <v>2.5</v>
      </c>
      <c r="AA218" s="378" t="s">
        <v>395</v>
      </c>
      <c r="AB218" s="378" t="s">
        <v>897</v>
      </c>
      <c r="AC218" s="378">
        <v>15</v>
      </c>
      <c r="AD218" s="378" t="s">
        <v>577</v>
      </c>
      <c r="AE218" s="378">
        <v>897.4</v>
      </c>
      <c r="AF218" s="378">
        <v>887.8</v>
      </c>
      <c r="AG218" s="378">
        <v>27</v>
      </c>
      <c r="AH218" s="378" t="s">
        <v>679</v>
      </c>
      <c r="AI218" s="378">
        <v>4.6</v>
      </c>
      <c r="AJ218" s="378">
        <v>69</v>
      </c>
      <c r="AK218" s="378" t="s">
        <v>1242</v>
      </c>
      <c r="AL218" s="378">
        <v>6</v>
      </c>
      <c r="AM218" s="378">
        <v>35.1</v>
      </c>
      <c r="AN218" s="379">
        <v>-7.3</v>
      </c>
    </row>
    <row r="219" ht="20.2" customHeight="1" spans="1:40">
      <c r="A219" s="239"/>
      <c r="B219" s="255">
        <v>2</v>
      </c>
      <c r="C219" s="253" t="s">
        <v>1542</v>
      </c>
      <c r="D219" s="255" t="s">
        <v>1543</v>
      </c>
      <c r="E219" s="257" t="s">
        <v>1544</v>
      </c>
      <c r="F219" s="257" t="s">
        <v>1545</v>
      </c>
      <c r="G219" s="257">
        <v>843.9</v>
      </c>
      <c r="H219" s="257" t="s">
        <v>47</v>
      </c>
      <c r="I219" s="257">
        <v>15.3</v>
      </c>
      <c r="J219" s="257">
        <v>0.3</v>
      </c>
      <c r="K219" s="257">
        <v>4.5</v>
      </c>
      <c r="L219" s="257">
        <v>-1.7</v>
      </c>
      <c r="M219" s="257">
        <v>83</v>
      </c>
      <c r="N219" s="257">
        <v>31.8</v>
      </c>
      <c r="O219" s="257">
        <v>24.3</v>
      </c>
      <c r="P219" s="257">
        <v>28.8</v>
      </c>
      <c r="Q219" s="257">
        <v>63</v>
      </c>
      <c r="R219" s="257">
        <v>27.9</v>
      </c>
      <c r="S219" s="257">
        <v>1.1</v>
      </c>
      <c r="T219" s="257" t="s">
        <v>130</v>
      </c>
      <c r="U219" s="257" t="s">
        <v>1546</v>
      </c>
      <c r="V219" s="257">
        <v>2.3</v>
      </c>
      <c r="W219" s="257">
        <v>1</v>
      </c>
      <c r="X219" s="257" t="s">
        <v>636</v>
      </c>
      <c r="Y219" s="257" t="s">
        <v>1547</v>
      </c>
      <c r="Z219" s="257">
        <v>1.9</v>
      </c>
      <c r="AA219" s="257" t="s">
        <v>845</v>
      </c>
      <c r="AB219" s="257" t="s">
        <v>1503</v>
      </c>
      <c r="AC219" s="257">
        <v>11</v>
      </c>
      <c r="AD219" s="257" t="s">
        <v>577</v>
      </c>
      <c r="AE219" s="257">
        <v>924</v>
      </c>
      <c r="AF219" s="257">
        <v>911.8</v>
      </c>
      <c r="AG219" s="257">
        <v>35</v>
      </c>
      <c r="AH219" s="257" t="s">
        <v>1548</v>
      </c>
      <c r="AI219" s="257">
        <v>4.4</v>
      </c>
      <c r="AJ219" s="257">
        <v>91</v>
      </c>
      <c r="AK219" s="257" t="s">
        <v>1139</v>
      </c>
      <c r="AL219" s="257">
        <v>5.6</v>
      </c>
      <c r="AM219" s="257">
        <v>37.4</v>
      </c>
      <c r="AN219" s="270">
        <v>-7.1</v>
      </c>
    </row>
    <row r="220" ht="20.2" customHeight="1" spans="1:40">
      <c r="A220" s="239"/>
      <c r="B220" s="255">
        <v>3</v>
      </c>
      <c r="C220" s="253" t="s">
        <v>1549</v>
      </c>
      <c r="D220" s="255" t="s">
        <v>1550</v>
      </c>
      <c r="E220" s="257" t="s">
        <v>1551</v>
      </c>
      <c r="F220" s="257" t="s">
        <v>1552</v>
      </c>
      <c r="G220" s="257">
        <v>1510.6</v>
      </c>
      <c r="H220" s="257" t="s">
        <v>47</v>
      </c>
      <c r="I220" s="257">
        <v>12.8</v>
      </c>
      <c r="J220" s="257">
        <v>-1.7</v>
      </c>
      <c r="K220" s="257">
        <v>2.7</v>
      </c>
      <c r="L220" s="257">
        <v>-3.5</v>
      </c>
      <c r="M220" s="257">
        <v>87</v>
      </c>
      <c r="N220" s="257">
        <v>29.2</v>
      </c>
      <c r="O220" s="257">
        <v>21.8</v>
      </c>
      <c r="P220" s="257">
        <v>25.7</v>
      </c>
      <c r="Q220" s="257">
        <v>64</v>
      </c>
      <c r="R220" s="257">
        <v>24.5</v>
      </c>
      <c r="S220" s="257">
        <v>0.9</v>
      </c>
      <c r="T220" s="257" t="s">
        <v>211</v>
      </c>
      <c r="U220" s="257" t="s">
        <v>1553</v>
      </c>
      <c r="V220" s="257">
        <v>2.3</v>
      </c>
      <c r="W220" s="257">
        <v>0.6</v>
      </c>
      <c r="X220" s="257" t="s">
        <v>211</v>
      </c>
      <c r="Y220" s="257" t="s">
        <v>1554</v>
      </c>
      <c r="Z220" s="257">
        <v>1.9</v>
      </c>
      <c r="AA220" s="257" t="s">
        <v>211</v>
      </c>
      <c r="AB220" s="257" t="s">
        <v>1555</v>
      </c>
      <c r="AC220" s="257">
        <v>17</v>
      </c>
      <c r="AD220" s="257" t="s">
        <v>577</v>
      </c>
      <c r="AE220" s="257">
        <v>850.9</v>
      </c>
      <c r="AF220" s="257">
        <v>844.2</v>
      </c>
      <c r="AG220" s="257">
        <v>67</v>
      </c>
      <c r="AH220" s="257" t="s">
        <v>787</v>
      </c>
      <c r="AI220" s="257">
        <v>3.4</v>
      </c>
      <c r="AJ220" s="257">
        <v>112</v>
      </c>
      <c r="AK220" s="257" t="s">
        <v>1556</v>
      </c>
      <c r="AL220" s="257">
        <v>4.4</v>
      </c>
      <c r="AM220" s="257">
        <v>39.7</v>
      </c>
      <c r="AN220" s="270">
        <v>-11.3</v>
      </c>
    </row>
    <row r="221" ht="20.2" customHeight="1" spans="1:40">
      <c r="A221" s="239"/>
      <c r="B221" s="255">
        <v>4</v>
      </c>
      <c r="C221" s="253" t="s">
        <v>1557</v>
      </c>
      <c r="D221" s="255" t="s">
        <v>1558</v>
      </c>
      <c r="E221" s="257" t="s">
        <v>1559</v>
      </c>
      <c r="F221" s="257" t="s">
        <v>1560</v>
      </c>
      <c r="G221" s="257">
        <v>1392.9</v>
      </c>
      <c r="H221" s="257" t="s">
        <v>47</v>
      </c>
      <c r="I221" s="261">
        <v>14.1</v>
      </c>
      <c r="J221" s="257">
        <v>-1.1</v>
      </c>
      <c r="K221" s="257">
        <v>4.3</v>
      </c>
      <c r="L221" s="257">
        <v>-3</v>
      </c>
      <c r="M221" s="257">
        <v>84</v>
      </c>
      <c r="N221" s="257">
        <v>27.7</v>
      </c>
      <c r="O221" s="257">
        <v>21.8</v>
      </c>
      <c r="P221" s="257">
        <v>24.8</v>
      </c>
      <c r="Q221" s="257">
        <v>70</v>
      </c>
      <c r="R221" s="257">
        <v>24.5</v>
      </c>
      <c r="S221" s="257">
        <v>2.3</v>
      </c>
      <c r="T221" s="257" t="s">
        <v>296</v>
      </c>
      <c r="U221" s="257">
        <v>25</v>
      </c>
      <c r="V221" s="257">
        <v>3.4</v>
      </c>
      <c r="W221" s="257">
        <v>2.4</v>
      </c>
      <c r="X221" s="257" t="s">
        <v>381</v>
      </c>
      <c r="Y221" s="257">
        <v>31</v>
      </c>
      <c r="Z221" s="257">
        <v>2.8</v>
      </c>
      <c r="AA221" s="257" t="s">
        <v>381</v>
      </c>
      <c r="AB221" s="257">
        <v>22</v>
      </c>
      <c r="AC221" s="257">
        <v>18</v>
      </c>
      <c r="AD221" s="257" t="s">
        <v>577</v>
      </c>
      <c r="AE221" s="257">
        <v>963.1</v>
      </c>
      <c r="AF221" s="257">
        <v>856</v>
      </c>
      <c r="AG221" s="257">
        <v>41</v>
      </c>
      <c r="AH221" s="257" t="s">
        <v>1561</v>
      </c>
      <c r="AI221" s="257">
        <v>4.2</v>
      </c>
      <c r="AJ221" s="257">
        <v>99</v>
      </c>
      <c r="AK221" s="257" t="s">
        <v>1562</v>
      </c>
      <c r="AL221" s="257">
        <v>5.7</v>
      </c>
      <c r="AM221" s="257">
        <v>33.4</v>
      </c>
      <c r="AN221" s="270">
        <v>-7.6</v>
      </c>
    </row>
    <row r="222" ht="20.2" customHeight="1" spans="1:40">
      <c r="A222" s="239"/>
      <c r="B222" s="255">
        <v>5</v>
      </c>
      <c r="C222" s="253" t="s">
        <v>1563</v>
      </c>
      <c r="D222" s="255" t="s">
        <v>1564</v>
      </c>
      <c r="E222" s="257" t="s">
        <v>1565</v>
      </c>
      <c r="F222" s="257" t="s">
        <v>1566</v>
      </c>
      <c r="G222" s="257">
        <v>279.7</v>
      </c>
      <c r="H222" s="257" t="s">
        <v>47</v>
      </c>
      <c r="I222" s="257">
        <v>17</v>
      </c>
      <c r="J222" s="257">
        <v>1.4</v>
      </c>
      <c r="K222" s="257">
        <v>5.5</v>
      </c>
      <c r="L222" s="257">
        <v>-0.5</v>
      </c>
      <c r="M222" s="257">
        <v>76</v>
      </c>
      <c r="N222" s="257">
        <v>35.3</v>
      </c>
      <c r="O222" s="257">
        <v>26.7</v>
      </c>
      <c r="P222" s="257">
        <v>32.2</v>
      </c>
      <c r="Q222" s="257">
        <v>60</v>
      </c>
      <c r="R222" s="257">
        <v>30.7</v>
      </c>
      <c r="S222" s="257">
        <v>0.8</v>
      </c>
      <c r="T222" s="257" t="s">
        <v>130</v>
      </c>
      <c r="U222" s="257" t="s">
        <v>1567</v>
      </c>
      <c r="V222" s="257">
        <v>2.3</v>
      </c>
      <c r="W222" s="257">
        <v>0.9</v>
      </c>
      <c r="X222" s="257" t="s">
        <v>198</v>
      </c>
      <c r="Y222" s="257" t="s">
        <v>1568</v>
      </c>
      <c r="Z222" s="257">
        <v>2.2</v>
      </c>
      <c r="AA222" s="257" t="s">
        <v>198</v>
      </c>
      <c r="AB222" s="257" t="s">
        <v>1569</v>
      </c>
      <c r="AC222" s="257">
        <v>15</v>
      </c>
      <c r="AD222" s="257" t="s">
        <v>577</v>
      </c>
      <c r="AE222" s="257">
        <v>991.3</v>
      </c>
      <c r="AF222" s="257">
        <v>973.1</v>
      </c>
      <c r="AG222" s="257">
        <v>5</v>
      </c>
      <c r="AH222" s="257" t="s">
        <v>1570</v>
      </c>
      <c r="AI222" s="257">
        <v>4.9</v>
      </c>
      <c r="AJ222" s="257">
        <v>64</v>
      </c>
      <c r="AK222" s="257" t="s">
        <v>1571</v>
      </c>
      <c r="AL222" s="257">
        <v>6.3</v>
      </c>
      <c r="AM222" s="257">
        <v>40.1</v>
      </c>
      <c r="AN222" s="270">
        <v>-9.2</v>
      </c>
    </row>
    <row r="223" ht="20.2" customHeight="1" spans="1:40">
      <c r="A223" s="239"/>
      <c r="B223" s="255">
        <v>6</v>
      </c>
      <c r="C223" s="253" t="s">
        <v>1572</v>
      </c>
      <c r="D223" s="255" t="s">
        <v>1573</v>
      </c>
      <c r="E223" s="257" t="s">
        <v>1574</v>
      </c>
      <c r="F223" s="257" t="s">
        <v>1575</v>
      </c>
      <c r="G223" s="257">
        <v>1378.5</v>
      </c>
      <c r="H223" s="257" t="s">
        <v>47</v>
      </c>
      <c r="I223" s="257">
        <v>15.3</v>
      </c>
      <c r="J223" s="257">
        <v>0.6</v>
      </c>
      <c r="K223" s="257">
        <v>6.3</v>
      </c>
      <c r="L223" s="257">
        <v>-1.3</v>
      </c>
      <c r="M223" s="257">
        <v>84</v>
      </c>
      <c r="N223" s="257">
        <v>28.7</v>
      </c>
      <c r="O223" s="257">
        <v>22.2</v>
      </c>
      <c r="P223" s="257">
        <v>25.3</v>
      </c>
      <c r="Q223" s="257">
        <v>69</v>
      </c>
      <c r="R223" s="257">
        <v>24.8</v>
      </c>
      <c r="S223" s="257">
        <v>1.8</v>
      </c>
      <c r="T223" s="257" t="s">
        <v>90</v>
      </c>
      <c r="U223" s="257" t="s">
        <v>1428</v>
      </c>
      <c r="V223" s="257">
        <v>2.3</v>
      </c>
      <c r="W223" s="257">
        <v>2.2</v>
      </c>
      <c r="X223" s="257" t="s">
        <v>198</v>
      </c>
      <c r="Y223" s="257" t="s">
        <v>718</v>
      </c>
      <c r="Z223" s="257">
        <v>2.3</v>
      </c>
      <c r="AA223" s="257" t="s">
        <v>90</v>
      </c>
      <c r="AB223" s="257" t="s">
        <v>1378</v>
      </c>
      <c r="AC223" s="257">
        <v>29</v>
      </c>
      <c r="AD223" s="257" t="s">
        <v>577</v>
      </c>
      <c r="AE223" s="257">
        <v>864.4</v>
      </c>
      <c r="AF223" s="257">
        <v>857.5</v>
      </c>
      <c r="AG223" s="257">
        <v>0</v>
      </c>
      <c r="AH223" s="257" t="s">
        <v>577</v>
      </c>
      <c r="AI223" s="257" t="s">
        <v>577</v>
      </c>
      <c r="AJ223" s="257">
        <v>65</v>
      </c>
      <c r="AK223" s="257" t="s">
        <v>814</v>
      </c>
      <c r="AL223" s="257">
        <v>6.7</v>
      </c>
      <c r="AM223" s="257">
        <v>35.5</v>
      </c>
      <c r="AN223" s="270">
        <v>-6.2</v>
      </c>
    </row>
    <row r="224" ht="20.2" customHeight="1" spans="1:40">
      <c r="A224" s="239"/>
      <c r="B224" s="255">
        <v>7</v>
      </c>
      <c r="C224" s="253" t="s">
        <v>1576</v>
      </c>
      <c r="D224" s="255" t="s">
        <v>1577</v>
      </c>
      <c r="E224" s="257" t="s">
        <v>1574</v>
      </c>
      <c r="F224" s="257" t="s">
        <v>1516</v>
      </c>
      <c r="G224" s="257">
        <v>440.3</v>
      </c>
      <c r="H224" s="257" t="s">
        <v>47</v>
      </c>
      <c r="I224" s="261">
        <v>19.6</v>
      </c>
      <c r="J224" s="257">
        <v>5.5</v>
      </c>
      <c r="K224" s="257">
        <v>10.2</v>
      </c>
      <c r="L224" s="257">
        <v>3.7</v>
      </c>
      <c r="M224" s="257">
        <v>73</v>
      </c>
      <c r="N224" s="257">
        <v>34.5</v>
      </c>
      <c r="O224" s="257" t="s">
        <v>1578</v>
      </c>
      <c r="P224" s="257">
        <v>31.2</v>
      </c>
      <c r="Q224" s="257">
        <v>66</v>
      </c>
      <c r="R224" s="257">
        <v>29.3</v>
      </c>
      <c r="S224" s="257">
        <v>0.6</v>
      </c>
      <c r="T224" s="257" t="s">
        <v>90</v>
      </c>
      <c r="U224" s="257" t="s">
        <v>1579</v>
      </c>
      <c r="V224" s="257">
        <v>1.7</v>
      </c>
      <c r="W224" s="257">
        <v>0.7</v>
      </c>
      <c r="X224" s="257" t="s">
        <v>90</v>
      </c>
      <c r="Y224" s="257" t="s">
        <v>1580</v>
      </c>
      <c r="Z224" s="257">
        <v>1.8</v>
      </c>
      <c r="AA224" s="257" t="s">
        <v>90</v>
      </c>
      <c r="AB224" s="257" t="s">
        <v>1581</v>
      </c>
      <c r="AC224" s="257">
        <v>21</v>
      </c>
      <c r="AD224" s="257" t="s">
        <v>577</v>
      </c>
      <c r="AE224" s="257">
        <v>968.6</v>
      </c>
      <c r="AF224" s="257">
        <v>954.7</v>
      </c>
      <c r="AG224" s="257">
        <v>0</v>
      </c>
      <c r="AH224" s="257" t="s">
        <v>577</v>
      </c>
      <c r="AI224" s="257" t="s">
        <v>577</v>
      </c>
      <c r="AJ224" s="257">
        <v>0</v>
      </c>
      <c r="AK224" s="257" t="s">
        <v>577</v>
      </c>
      <c r="AL224" s="257" t="s">
        <v>577</v>
      </c>
      <c r="AM224" s="257">
        <v>39.2</v>
      </c>
      <c r="AN224" s="270">
        <v>-2.7</v>
      </c>
    </row>
    <row r="225" ht="20.2" customHeight="1" spans="1:40">
      <c r="A225" s="239"/>
      <c r="B225" s="255">
        <v>8</v>
      </c>
      <c r="C225" s="253" t="s">
        <v>1582</v>
      </c>
      <c r="D225" s="255" t="s">
        <v>1583</v>
      </c>
      <c r="E225" s="257" t="s">
        <v>1584</v>
      </c>
      <c r="F225" s="257" t="s">
        <v>1585</v>
      </c>
      <c r="G225" s="257">
        <v>720.3</v>
      </c>
      <c r="H225" s="257" t="s">
        <v>47</v>
      </c>
      <c r="I225" s="261">
        <v>15.7</v>
      </c>
      <c r="J225" s="257">
        <v>-0.4</v>
      </c>
      <c r="K225" s="257">
        <v>4.7</v>
      </c>
      <c r="L225" s="257">
        <v>-2.3</v>
      </c>
      <c r="M225" s="257">
        <v>80</v>
      </c>
      <c r="N225" s="257">
        <v>32.1</v>
      </c>
      <c r="O225" s="257">
        <v>24.5</v>
      </c>
      <c r="P225" s="257">
        <v>29</v>
      </c>
      <c r="Q225" s="257">
        <v>64</v>
      </c>
      <c r="R225" s="257">
        <v>28.3</v>
      </c>
      <c r="S225" s="257">
        <v>1.6</v>
      </c>
      <c r="T225" s="257" t="s">
        <v>130</v>
      </c>
      <c r="U225" s="257" t="s">
        <v>1586</v>
      </c>
      <c r="V225" s="257">
        <v>3.1</v>
      </c>
      <c r="W225" s="257">
        <v>1.6</v>
      </c>
      <c r="X225" s="257" t="s">
        <v>80</v>
      </c>
      <c r="Y225" s="257" t="s">
        <v>1587</v>
      </c>
      <c r="Z225" s="257">
        <v>2.3</v>
      </c>
      <c r="AA225" s="257" t="s">
        <v>80</v>
      </c>
      <c r="AB225" s="257" t="s">
        <v>1513</v>
      </c>
      <c r="AC225" s="257">
        <v>16</v>
      </c>
      <c r="AD225" s="257" t="s">
        <v>577</v>
      </c>
      <c r="AE225" s="257">
        <v>938.3</v>
      </c>
      <c r="AF225" s="257">
        <v>925.2</v>
      </c>
      <c r="AG225" s="257">
        <v>30</v>
      </c>
      <c r="AH225" s="257" t="s">
        <v>1588</v>
      </c>
      <c r="AI225" s="257">
        <v>4.4</v>
      </c>
      <c r="AJ225" s="257">
        <v>87</v>
      </c>
      <c r="AK225" s="257" t="s">
        <v>864</v>
      </c>
      <c r="AL225" s="257">
        <v>5.8</v>
      </c>
      <c r="AM225" s="257">
        <v>37.5</v>
      </c>
      <c r="AN225" s="270">
        <v>-9.7</v>
      </c>
    </row>
    <row r="226" s="294" customFormat="1" ht="20.2" customHeight="1" spans="1:40">
      <c r="A226" s="363"/>
      <c r="B226" s="466">
        <v>9</v>
      </c>
      <c r="C226" s="385" t="s">
        <v>1589</v>
      </c>
      <c r="D226" s="378" t="s">
        <v>1590</v>
      </c>
      <c r="E226" s="378" t="s">
        <v>1591</v>
      </c>
      <c r="F226" s="378" t="s">
        <v>1592</v>
      </c>
      <c r="G226" s="378">
        <v>1515.2</v>
      </c>
      <c r="H226" s="378" t="s">
        <v>47</v>
      </c>
      <c r="I226" s="378">
        <v>15.2</v>
      </c>
      <c r="J226" s="378">
        <v>0.6</v>
      </c>
      <c r="K226" s="378">
        <v>6.5</v>
      </c>
      <c r="L226" s="378">
        <v>-1.4</v>
      </c>
      <c r="M226" s="378">
        <v>79</v>
      </c>
      <c r="N226" s="378">
        <v>29.3</v>
      </c>
      <c r="O226" s="378">
        <v>21.6</v>
      </c>
      <c r="P226" s="378">
        <v>25.5</v>
      </c>
      <c r="Q226" s="378">
        <v>65</v>
      </c>
      <c r="R226" s="378">
        <v>24.7</v>
      </c>
      <c r="S226" s="378">
        <v>1.3</v>
      </c>
      <c r="T226" s="378" t="s">
        <v>285</v>
      </c>
      <c r="U226" s="378" t="s">
        <v>1593</v>
      </c>
      <c r="V226" s="378">
        <v>2.5</v>
      </c>
      <c r="W226" s="378">
        <v>2</v>
      </c>
      <c r="X226" s="378" t="s">
        <v>198</v>
      </c>
      <c r="Y226" s="378" t="s">
        <v>1594</v>
      </c>
      <c r="Z226" s="378">
        <v>2.5</v>
      </c>
      <c r="AA226" s="378" t="s">
        <v>198</v>
      </c>
      <c r="AB226" s="378" t="s">
        <v>1212</v>
      </c>
      <c r="AC226" s="378">
        <v>33</v>
      </c>
      <c r="AD226" s="378" t="s">
        <v>577</v>
      </c>
      <c r="AE226" s="378">
        <v>849.6</v>
      </c>
      <c r="AF226" s="378">
        <v>843.8</v>
      </c>
      <c r="AG226" s="378">
        <v>0</v>
      </c>
      <c r="AH226" s="378" t="s">
        <v>577</v>
      </c>
      <c r="AI226" s="378" t="s">
        <v>577</v>
      </c>
      <c r="AJ226" s="378">
        <v>66</v>
      </c>
      <c r="AK226" s="378" t="s">
        <v>840</v>
      </c>
      <c r="AL226" s="378">
        <v>6.9</v>
      </c>
      <c r="AM226" s="378">
        <v>35.1</v>
      </c>
      <c r="AN226" s="379">
        <v>-7.9</v>
      </c>
    </row>
    <row r="227" s="296" customFormat="1" ht="20.2" customHeight="1" spans="1:40">
      <c r="A227" s="432" t="s">
        <v>1595</v>
      </c>
      <c r="B227" s="467">
        <v>1</v>
      </c>
      <c r="C227" s="420" t="s">
        <v>1596</v>
      </c>
      <c r="D227" s="382" t="s">
        <v>1597</v>
      </c>
      <c r="E227" s="382" t="s">
        <v>1598</v>
      </c>
      <c r="F227" s="382" t="s">
        <v>1599</v>
      </c>
      <c r="G227" s="382">
        <v>1892.4</v>
      </c>
      <c r="H227" s="382" t="s">
        <v>47</v>
      </c>
      <c r="I227" s="382">
        <v>14.9</v>
      </c>
      <c r="J227" s="382">
        <v>3.6</v>
      </c>
      <c r="K227" s="382">
        <v>8.1</v>
      </c>
      <c r="L227" s="382">
        <v>0.9</v>
      </c>
      <c r="M227" s="382">
        <v>68</v>
      </c>
      <c r="N227" s="382">
        <v>26.2</v>
      </c>
      <c r="O227" s="382">
        <v>20</v>
      </c>
      <c r="P227" s="382">
        <v>23</v>
      </c>
      <c r="Q227" s="382">
        <v>68</v>
      </c>
      <c r="R227" s="382">
        <v>22.4</v>
      </c>
      <c r="S227" s="382">
        <v>1.8</v>
      </c>
      <c r="T227" s="382" t="s">
        <v>285</v>
      </c>
      <c r="U227" s="382" t="s">
        <v>203</v>
      </c>
      <c r="V227" s="382">
        <v>2.6</v>
      </c>
      <c r="W227" s="382">
        <v>2.2</v>
      </c>
      <c r="X227" s="382" t="s">
        <v>285</v>
      </c>
      <c r="Y227" s="382" t="s">
        <v>1600</v>
      </c>
      <c r="Z227" s="382">
        <v>3.7</v>
      </c>
      <c r="AA227" s="382" t="s">
        <v>285</v>
      </c>
      <c r="AB227" s="382" t="s">
        <v>585</v>
      </c>
      <c r="AC227" s="382">
        <v>66</v>
      </c>
      <c r="AD227" s="382" t="s">
        <v>577</v>
      </c>
      <c r="AE227" s="382">
        <v>811.9</v>
      </c>
      <c r="AF227" s="382">
        <v>808.2</v>
      </c>
      <c r="AG227" s="382">
        <v>0</v>
      </c>
      <c r="AH227" s="382" t="s">
        <v>577</v>
      </c>
      <c r="AI227" s="382" t="s">
        <v>577</v>
      </c>
      <c r="AJ227" s="382">
        <v>27</v>
      </c>
      <c r="AK227" s="382" t="s">
        <v>1601</v>
      </c>
      <c r="AL227" s="382">
        <v>7.7</v>
      </c>
      <c r="AM227" s="382">
        <v>30.4</v>
      </c>
      <c r="AN227" s="383">
        <v>-7.8</v>
      </c>
    </row>
    <row r="228" ht="20.2" customHeight="1" spans="1:40">
      <c r="A228" s="372"/>
      <c r="B228" s="361">
        <v>2</v>
      </c>
      <c r="C228" s="357" t="s">
        <v>1602</v>
      </c>
      <c r="D228" s="358" t="s">
        <v>1603</v>
      </c>
      <c r="E228" s="257" t="s">
        <v>1604</v>
      </c>
      <c r="F228" s="257" t="s">
        <v>1605</v>
      </c>
      <c r="G228" s="257">
        <v>1653.5</v>
      </c>
      <c r="H228" s="257" t="s">
        <v>47</v>
      </c>
      <c r="I228" s="257">
        <v>15.9</v>
      </c>
      <c r="J228" s="257">
        <v>6.6</v>
      </c>
      <c r="K228" s="257">
        <v>8.5</v>
      </c>
      <c r="L228" s="257">
        <v>5.6</v>
      </c>
      <c r="M228" s="257">
        <v>69</v>
      </c>
      <c r="N228" s="257">
        <v>27.1</v>
      </c>
      <c r="O228" s="257">
        <v>20.9</v>
      </c>
      <c r="P228" s="257">
        <v>24.2</v>
      </c>
      <c r="Q228" s="257">
        <v>67</v>
      </c>
      <c r="R228" s="257">
        <v>23.1</v>
      </c>
      <c r="S228" s="257">
        <v>1.3</v>
      </c>
      <c r="T228" s="257" t="s">
        <v>130</v>
      </c>
      <c r="U228" s="257" t="s">
        <v>1606</v>
      </c>
      <c r="V228" s="257">
        <v>2.5</v>
      </c>
      <c r="W228" s="257">
        <v>1.5</v>
      </c>
      <c r="X228" s="257" t="s">
        <v>356</v>
      </c>
      <c r="Y228" s="257" t="s">
        <v>1607</v>
      </c>
      <c r="Z228" s="257">
        <v>3.4</v>
      </c>
      <c r="AA228" s="257" t="s">
        <v>356</v>
      </c>
      <c r="AB228" s="257" t="s">
        <v>1608</v>
      </c>
      <c r="AC228" s="257">
        <v>74</v>
      </c>
      <c r="AD228" s="257" t="s">
        <v>577</v>
      </c>
      <c r="AE228" s="257">
        <v>835.7</v>
      </c>
      <c r="AF228" s="257">
        <v>830.3</v>
      </c>
      <c r="AG228" s="257">
        <v>0</v>
      </c>
      <c r="AH228" s="257" t="s">
        <v>577</v>
      </c>
      <c r="AI228" s="257" t="s">
        <v>577</v>
      </c>
      <c r="AJ228" s="257">
        <v>6</v>
      </c>
      <c r="AK228" s="257" t="s">
        <v>1609</v>
      </c>
      <c r="AL228" s="257">
        <v>7.9</v>
      </c>
      <c r="AM228" s="257">
        <v>32.3</v>
      </c>
      <c r="AN228" s="270">
        <v>-3.8</v>
      </c>
    </row>
    <row r="229" ht="20.2" customHeight="1" spans="1:40">
      <c r="A229" s="372"/>
      <c r="B229" s="468">
        <v>3</v>
      </c>
      <c r="C229" s="357" t="s">
        <v>1610</v>
      </c>
      <c r="D229" s="358" t="s">
        <v>1611</v>
      </c>
      <c r="E229" s="257" t="s">
        <v>1612</v>
      </c>
      <c r="F229" s="257" t="s">
        <v>1613</v>
      </c>
      <c r="G229" s="257">
        <v>1949.5</v>
      </c>
      <c r="H229" s="257" t="s">
        <v>47</v>
      </c>
      <c r="I229" s="257">
        <v>11.6</v>
      </c>
      <c r="J229" s="257">
        <v>-3.1</v>
      </c>
      <c r="K229" s="257">
        <v>2.2</v>
      </c>
      <c r="L229" s="257">
        <v>-5.2</v>
      </c>
      <c r="M229" s="257">
        <v>74</v>
      </c>
      <c r="N229" s="257">
        <v>27.3</v>
      </c>
      <c r="O229" s="257">
        <v>19.5</v>
      </c>
      <c r="P229" s="257">
        <v>23.5</v>
      </c>
      <c r="Q229" s="257">
        <v>63</v>
      </c>
      <c r="R229" s="257">
        <v>22.5</v>
      </c>
      <c r="S229" s="257">
        <v>1.6</v>
      </c>
      <c r="T229" s="257" t="s">
        <v>855</v>
      </c>
      <c r="U229" s="257" t="s">
        <v>1333</v>
      </c>
      <c r="V229" s="257">
        <v>3</v>
      </c>
      <c r="W229" s="257">
        <v>2.4</v>
      </c>
      <c r="X229" s="257" t="s">
        <v>855</v>
      </c>
      <c r="Y229" s="257" t="s">
        <v>1614</v>
      </c>
      <c r="Z229" s="257">
        <v>3.6</v>
      </c>
      <c r="AA229" s="257" t="s">
        <v>855</v>
      </c>
      <c r="AB229" s="257" t="s">
        <v>1615</v>
      </c>
      <c r="AC229" s="257">
        <v>43</v>
      </c>
      <c r="AD229" s="257" t="s">
        <v>577</v>
      </c>
      <c r="AE229" s="257">
        <v>805.3</v>
      </c>
      <c r="AF229" s="257">
        <v>802</v>
      </c>
      <c r="AG229" s="257">
        <v>73</v>
      </c>
      <c r="AH229" s="257" t="s">
        <v>1616</v>
      </c>
      <c r="AI229" s="257">
        <v>3.1</v>
      </c>
      <c r="AJ229" s="257">
        <v>122</v>
      </c>
      <c r="AK229" s="257" t="s">
        <v>1617</v>
      </c>
      <c r="AL229" s="257">
        <v>4.1</v>
      </c>
      <c r="AM229" s="257">
        <v>33.4</v>
      </c>
      <c r="AN229" s="270">
        <v>-10.6</v>
      </c>
    </row>
    <row r="230" ht="20.2" customHeight="1" spans="1:40">
      <c r="A230" s="372"/>
      <c r="B230" s="361">
        <v>4</v>
      </c>
      <c r="C230" s="357" t="s">
        <v>1618</v>
      </c>
      <c r="D230" s="358" t="s">
        <v>1619</v>
      </c>
      <c r="E230" s="257" t="s">
        <v>1620</v>
      </c>
      <c r="F230" s="257" t="s">
        <v>1621</v>
      </c>
      <c r="G230" s="257">
        <v>2392.4</v>
      </c>
      <c r="H230" s="257" t="s">
        <v>47</v>
      </c>
      <c r="I230" s="257">
        <v>12.7</v>
      </c>
      <c r="J230" s="257">
        <v>3.1</v>
      </c>
      <c r="K230" s="257">
        <v>6</v>
      </c>
      <c r="L230" s="257">
        <v>1.3</v>
      </c>
      <c r="M230" s="257">
        <v>46</v>
      </c>
      <c r="N230" s="257">
        <v>25.6</v>
      </c>
      <c r="O230" s="257">
        <v>18.1</v>
      </c>
      <c r="P230" s="257">
        <v>22.3</v>
      </c>
      <c r="Q230" s="257">
        <v>59</v>
      </c>
      <c r="R230" s="257">
        <v>21.3</v>
      </c>
      <c r="S230" s="257">
        <v>2.5</v>
      </c>
      <c r="T230" s="257" t="s">
        <v>636</v>
      </c>
      <c r="U230" s="257" t="s">
        <v>600</v>
      </c>
      <c r="V230" s="257">
        <v>2.5</v>
      </c>
      <c r="W230" s="257">
        <v>4.2</v>
      </c>
      <c r="X230" s="257" t="s">
        <v>482</v>
      </c>
      <c r="Y230" s="257">
        <v>21</v>
      </c>
      <c r="Z230" s="257">
        <v>5.5</v>
      </c>
      <c r="AA230" s="257" t="s">
        <v>482</v>
      </c>
      <c r="AB230" s="257">
        <v>15</v>
      </c>
      <c r="AC230" s="257">
        <v>77</v>
      </c>
      <c r="AD230" s="257" t="s">
        <v>577</v>
      </c>
      <c r="AE230" s="257">
        <v>762.6</v>
      </c>
      <c r="AF230" s="257">
        <v>761</v>
      </c>
      <c r="AG230" s="257">
        <v>0</v>
      </c>
      <c r="AH230" s="257" t="s">
        <v>577</v>
      </c>
      <c r="AI230" s="257" t="s">
        <v>577</v>
      </c>
      <c r="AJ230" s="257">
        <v>82</v>
      </c>
      <c r="AK230" s="257" t="s">
        <v>1622</v>
      </c>
      <c r="AL230" s="257">
        <v>6.3</v>
      </c>
      <c r="AM230" s="257">
        <v>32.3</v>
      </c>
      <c r="AN230" s="270">
        <v>-10.3</v>
      </c>
    </row>
    <row r="231" ht="20.2" customHeight="1" spans="1:40">
      <c r="A231" s="372"/>
      <c r="B231" s="361">
        <v>5</v>
      </c>
      <c r="C231" s="357" t="s">
        <v>1623</v>
      </c>
      <c r="D231" s="358" t="s">
        <v>1624</v>
      </c>
      <c r="E231" s="257" t="s">
        <v>1625</v>
      </c>
      <c r="F231" s="257" t="s">
        <v>1626</v>
      </c>
      <c r="G231" s="257">
        <v>1302.1</v>
      </c>
      <c r="H231" s="257" t="s">
        <v>47</v>
      </c>
      <c r="I231" s="257">
        <v>18.4</v>
      </c>
      <c r="J231" s="257">
        <v>9.7</v>
      </c>
      <c r="K231" s="257">
        <v>12.5</v>
      </c>
      <c r="L231" s="257">
        <v>7</v>
      </c>
      <c r="M231" s="257">
        <v>78</v>
      </c>
      <c r="N231" s="257">
        <v>29.7</v>
      </c>
      <c r="O231" s="257">
        <v>22.1</v>
      </c>
      <c r="P231" s="257">
        <v>25.8</v>
      </c>
      <c r="Q231" s="257">
        <v>69</v>
      </c>
      <c r="R231" s="257">
        <v>24</v>
      </c>
      <c r="S231" s="257">
        <v>1</v>
      </c>
      <c r="T231" s="257" t="s">
        <v>52</v>
      </c>
      <c r="U231" s="257" t="s">
        <v>1627</v>
      </c>
      <c r="V231" s="257">
        <v>1.9</v>
      </c>
      <c r="W231" s="257">
        <v>0.9</v>
      </c>
      <c r="X231" s="257" t="s">
        <v>356</v>
      </c>
      <c r="Y231" s="257" t="s">
        <v>1628</v>
      </c>
      <c r="Z231" s="257">
        <v>2.7</v>
      </c>
      <c r="AA231" s="257" t="s">
        <v>356</v>
      </c>
      <c r="AB231" s="257" t="s">
        <v>1629</v>
      </c>
      <c r="AC231" s="257">
        <v>64</v>
      </c>
      <c r="AD231" s="257" t="s">
        <v>577</v>
      </c>
      <c r="AE231" s="257">
        <v>871.8</v>
      </c>
      <c r="AF231" s="257">
        <v>865.3</v>
      </c>
      <c r="AG231" s="257">
        <v>0</v>
      </c>
      <c r="AH231" s="257" t="s">
        <v>577</v>
      </c>
      <c r="AI231" s="257" t="s">
        <v>577</v>
      </c>
      <c r="AJ231" s="257">
        <v>0</v>
      </c>
      <c r="AK231" s="257" t="s">
        <v>577</v>
      </c>
      <c r="AL231" s="257" t="s">
        <v>577</v>
      </c>
      <c r="AM231" s="257">
        <v>35.7</v>
      </c>
      <c r="AN231" s="270">
        <v>-2.5</v>
      </c>
    </row>
    <row r="232" ht="20.2" customHeight="1" spans="1:40">
      <c r="A232" s="372"/>
      <c r="B232" s="361">
        <v>6</v>
      </c>
      <c r="C232" s="357" t="s">
        <v>1630</v>
      </c>
      <c r="D232" s="358" t="s">
        <v>1631</v>
      </c>
      <c r="E232" s="257" t="s">
        <v>1632</v>
      </c>
      <c r="F232" s="257" t="s">
        <v>1633</v>
      </c>
      <c r="G232" s="257">
        <v>1300.7</v>
      </c>
      <c r="H232" s="257" t="s">
        <v>47</v>
      </c>
      <c r="I232" s="257">
        <v>18.7</v>
      </c>
      <c r="J232" s="257">
        <v>6.8</v>
      </c>
      <c r="K232" s="257">
        <v>12.3</v>
      </c>
      <c r="L232" s="257">
        <v>4.5</v>
      </c>
      <c r="M232" s="257">
        <v>72</v>
      </c>
      <c r="N232" s="257">
        <v>30.7</v>
      </c>
      <c r="O232" s="257">
        <v>22</v>
      </c>
      <c r="P232" s="257">
        <v>26.7</v>
      </c>
      <c r="Q232" s="257">
        <v>62</v>
      </c>
      <c r="R232" s="257">
        <v>25.9</v>
      </c>
      <c r="S232" s="257">
        <v>3.2</v>
      </c>
      <c r="T232" s="257" t="s">
        <v>687</v>
      </c>
      <c r="U232" s="257">
        <v>26</v>
      </c>
      <c r="V232" s="257">
        <v>3.9</v>
      </c>
      <c r="W232" s="257">
        <v>3.8</v>
      </c>
      <c r="X232" s="257" t="s">
        <v>296</v>
      </c>
      <c r="Y232" s="257">
        <v>24</v>
      </c>
      <c r="Z232" s="257">
        <v>5.5</v>
      </c>
      <c r="AA232" s="257" t="s">
        <v>687</v>
      </c>
      <c r="AB232" s="257">
        <v>23</v>
      </c>
      <c r="AC232" s="257">
        <v>62</v>
      </c>
      <c r="AD232" s="257" t="s">
        <v>577</v>
      </c>
      <c r="AE232" s="257">
        <v>865</v>
      </c>
      <c r="AF232" s="257">
        <v>871.4</v>
      </c>
      <c r="AG232" s="257">
        <v>0</v>
      </c>
      <c r="AH232" s="257" t="s">
        <v>577</v>
      </c>
      <c r="AI232" s="257" t="s">
        <v>577</v>
      </c>
      <c r="AJ232" s="257">
        <v>0</v>
      </c>
      <c r="AK232" s="257" t="s">
        <v>577</v>
      </c>
      <c r="AL232" s="257" t="s">
        <v>577</v>
      </c>
      <c r="AM232" s="257">
        <v>35.9</v>
      </c>
      <c r="AN232" s="270">
        <v>-3.9</v>
      </c>
    </row>
    <row r="233" ht="20.2" customHeight="1" spans="1:40">
      <c r="A233" s="372"/>
      <c r="B233" s="361">
        <v>7</v>
      </c>
      <c r="C233" s="357" t="s">
        <v>1634</v>
      </c>
      <c r="D233" s="358" t="s">
        <v>1635</v>
      </c>
      <c r="E233" s="257" t="s">
        <v>1636</v>
      </c>
      <c r="F233" s="257" t="s">
        <v>1637</v>
      </c>
      <c r="G233" s="257">
        <v>582</v>
      </c>
      <c r="H233" s="257" t="s">
        <v>47</v>
      </c>
      <c r="I233" s="257">
        <v>22.4</v>
      </c>
      <c r="J233" s="257">
        <v>13.3</v>
      </c>
      <c r="K233" s="257">
        <v>16.5</v>
      </c>
      <c r="L233" s="257">
        <v>10.5</v>
      </c>
      <c r="M233" s="257">
        <v>85</v>
      </c>
      <c r="N233" s="257">
        <v>34.7</v>
      </c>
      <c r="O233" s="257">
        <v>25.7</v>
      </c>
      <c r="P233" s="257">
        <v>30.4</v>
      </c>
      <c r="Q233" s="257">
        <v>67</v>
      </c>
      <c r="R233" s="257">
        <v>28.5</v>
      </c>
      <c r="S233" s="257">
        <v>0.8</v>
      </c>
      <c r="T233" s="257" t="s">
        <v>636</v>
      </c>
      <c r="U233" s="257" t="s">
        <v>1638</v>
      </c>
      <c r="V233" s="257">
        <v>1.7</v>
      </c>
      <c r="W233" s="257">
        <v>0.4</v>
      </c>
      <c r="X233" s="257" t="s">
        <v>636</v>
      </c>
      <c r="Y233" s="257" t="s">
        <v>1130</v>
      </c>
      <c r="Z233" s="257">
        <v>1.4</v>
      </c>
      <c r="AA233" s="257" t="s">
        <v>636</v>
      </c>
      <c r="AB233" s="257" t="s">
        <v>1639</v>
      </c>
      <c r="AC233" s="257">
        <v>57</v>
      </c>
      <c r="AD233" s="257" t="s">
        <v>577</v>
      </c>
      <c r="AE233" s="257">
        <v>851.3</v>
      </c>
      <c r="AF233" s="257">
        <v>942.7</v>
      </c>
      <c r="AG233" s="257">
        <v>0</v>
      </c>
      <c r="AH233" s="257" t="s">
        <v>577</v>
      </c>
      <c r="AI233" s="257" t="s">
        <v>577</v>
      </c>
      <c r="AJ233" s="257">
        <v>0</v>
      </c>
      <c r="AK233" s="257" t="s">
        <v>577</v>
      </c>
      <c r="AL233" s="257" t="s">
        <v>577</v>
      </c>
      <c r="AM233" s="257">
        <v>41.1</v>
      </c>
      <c r="AN233" s="270">
        <v>1.9</v>
      </c>
    </row>
    <row r="234" ht="20.2" customHeight="1" spans="1:40">
      <c r="A234" s="372"/>
      <c r="B234" s="361">
        <v>8</v>
      </c>
      <c r="C234" s="357" t="s">
        <v>1640</v>
      </c>
      <c r="D234" s="358" t="s">
        <v>1641</v>
      </c>
      <c r="E234" s="257" t="s">
        <v>1632</v>
      </c>
      <c r="F234" s="257" t="s">
        <v>1642</v>
      </c>
      <c r="G234" s="257">
        <v>1271.6</v>
      </c>
      <c r="H234" s="257" t="s">
        <v>47</v>
      </c>
      <c r="I234" s="257">
        <v>18</v>
      </c>
      <c r="J234" s="257">
        <v>5.6</v>
      </c>
      <c r="K234" s="257">
        <v>11.1</v>
      </c>
      <c r="L234" s="257">
        <v>3.4</v>
      </c>
      <c r="M234" s="257">
        <v>77</v>
      </c>
      <c r="N234" s="257">
        <v>30.4</v>
      </c>
      <c r="O234" s="257">
        <v>22.1</v>
      </c>
      <c r="P234" s="257">
        <v>26.7</v>
      </c>
      <c r="Q234" s="257">
        <v>63</v>
      </c>
      <c r="R234" s="257">
        <v>25.5</v>
      </c>
      <c r="S234" s="257">
        <v>2.2</v>
      </c>
      <c r="T234" s="257" t="s">
        <v>70</v>
      </c>
      <c r="U234" s="257">
        <v>25</v>
      </c>
      <c r="V234" s="257">
        <v>2.9</v>
      </c>
      <c r="W234" s="257">
        <v>2.9</v>
      </c>
      <c r="X234" s="257" t="s">
        <v>687</v>
      </c>
      <c r="Y234" s="257">
        <v>26</v>
      </c>
      <c r="Z234" s="257">
        <v>3.4</v>
      </c>
      <c r="AA234" s="257" t="s">
        <v>70</v>
      </c>
      <c r="AB234" s="257">
        <v>25</v>
      </c>
      <c r="AC234" s="257">
        <v>50</v>
      </c>
      <c r="AD234" s="257" t="s">
        <v>577</v>
      </c>
      <c r="AE234" s="257">
        <v>875.4</v>
      </c>
      <c r="AF234" s="257">
        <v>868.2</v>
      </c>
      <c r="AG234" s="257">
        <v>0</v>
      </c>
      <c r="AH234" s="257" t="s">
        <v>577</v>
      </c>
      <c r="AI234" s="257" t="s">
        <v>577</v>
      </c>
      <c r="AJ234" s="257">
        <v>0</v>
      </c>
      <c r="AK234" s="257" t="s">
        <v>577</v>
      </c>
      <c r="AL234" s="257" t="s">
        <v>577</v>
      </c>
      <c r="AM234" s="257">
        <v>35.9</v>
      </c>
      <c r="AN234" s="270">
        <v>-3</v>
      </c>
    </row>
    <row r="235" ht="20.2" customHeight="1" spans="1:40">
      <c r="A235" s="372"/>
      <c r="B235" s="361">
        <v>9</v>
      </c>
      <c r="C235" s="357" t="s">
        <v>1643</v>
      </c>
      <c r="D235" s="358" t="s">
        <v>1644</v>
      </c>
      <c r="E235" s="257" t="s">
        <v>1645</v>
      </c>
      <c r="F235" s="257" t="s">
        <v>1646</v>
      </c>
      <c r="G235" s="257">
        <v>1898.7</v>
      </c>
      <c r="H235" s="257" t="s">
        <v>47</v>
      </c>
      <c r="I235" s="257">
        <v>14.4</v>
      </c>
      <c r="J235" s="257">
        <v>1.1</v>
      </c>
      <c r="K235" s="257">
        <v>7.4</v>
      </c>
      <c r="L235" s="257">
        <v>-1.6</v>
      </c>
      <c r="M235" s="257">
        <v>67</v>
      </c>
      <c r="N235" s="257">
        <v>27</v>
      </c>
      <c r="O235" s="257">
        <v>19.8</v>
      </c>
      <c r="P235" s="257">
        <v>23.3</v>
      </c>
      <c r="Q235" s="257">
        <v>68</v>
      </c>
      <c r="R235" s="257">
        <v>22.4</v>
      </c>
      <c r="S235" s="257">
        <v>2.3</v>
      </c>
      <c r="T235" s="257" t="s">
        <v>104</v>
      </c>
      <c r="U235" s="257" t="s">
        <v>1647</v>
      </c>
      <c r="V235" s="257">
        <v>2.7</v>
      </c>
      <c r="W235" s="257">
        <v>3.1</v>
      </c>
      <c r="X235" s="257" t="s">
        <v>153</v>
      </c>
      <c r="Y235" s="257">
        <v>19</v>
      </c>
      <c r="Z235" s="257">
        <v>3.8</v>
      </c>
      <c r="AA235" s="257" t="s">
        <v>296</v>
      </c>
      <c r="AB235" s="257">
        <v>18</v>
      </c>
      <c r="AC235" s="257">
        <v>56</v>
      </c>
      <c r="AD235" s="257" t="s">
        <v>577</v>
      </c>
      <c r="AE235" s="257">
        <v>810.9</v>
      </c>
      <c r="AF235" s="257">
        <v>807.6</v>
      </c>
      <c r="AG235" s="257">
        <v>0</v>
      </c>
      <c r="AH235" s="257" t="s">
        <v>577</v>
      </c>
      <c r="AI235" s="257" t="s">
        <v>577</v>
      </c>
      <c r="AJ235" s="257">
        <v>60</v>
      </c>
      <c r="AK235" s="257" t="s">
        <v>1648</v>
      </c>
      <c r="AL235" s="257">
        <v>7.4</v>
      </c>
      <c r="AM235" s="257">
        <v>33.2</v>
      </c>
      <c r="AN235" s="270">
        <v>-9.2</v>
      </c>
    </row>
    <row r="236" ht="20.2" customHeight="1" spans="1:40">
      <c r="A236" s="372"/>
      <c r="B236" s="361">
        <v>10</v>
      </c>
      <c r="C236" s="357" t="s">
        <v>1649</v>
      </c>
      <c r="D236" s="358" t="s">
        <v>1650</v>
      </c>
      <c r="E236" s="257" t="s">
        <v>1337</v>
      </c>
      <c r="F236" s="257" t="s">
        <v>1651</v>
      </c>
      <c r="G236" s="257">
        <v>1636.7</v>
      </c>
      <c r="H236" s="257" t="s">
        <v>47</v>
      </c>
      <c r="I236" s="257">
        <v>15.9</v>
      </c>
      <c r="J236" s="257">
        <v>5.5</v>
      </c>
      <c r="K236" s="257">
        <v>8.9</v>
      </c>
      <c r="L236" s="257">
        <v>3.4</v>
      </c>
      <c r="M236" s="257">
        <v>73</v>
      </c>
      <c r="N236" s="257">
        <v>28.2</v>
      </c>
      <c r="O236" s="257">
        <v>20.8</v>
      </c>
      <c r="P236" s="257">
        <v>24.5</v>
      </c>
      <c r="Q236" s="257">
        <v>66</v>
      </c>
      <c r="R236" s="257">
        <v>23.2</v>
      </c>
      <c r="S236" s="257">
        <v>1.4</v>
      </c>
      <c r="T236" s="257" t="s">
        <v>285</v>
      </c>
      <c r="U236" s="257" t="s">
        <v>1253</v>
      </c>
      <c r="V236" s="257">
        <v>2.5</v>
      </c>
      <c r="W236" s="257">
        <v>1.7</v>
      </c>
      <c r="X236" s="257" t="s">
        <v>285</v>
      </c>
      <c r="Y236" s="257" t="s">
        <v>135</v>
      </c>
      <c r="Z236" s="257">
        <v>1.8</v>
      </c>
      <c r="AA236" s="257" t="s">
        <v>285</v>
      </c>
      <c r="AB236" s="257" t="s">
        <v>1652</v>
      </c>
      <c r="AC236" s="257">
        <v>61</v>
      </c>
      <c r="AD236" s="257" t="s">
        <v>577</v>
      </c>
      <c r="AE236" s="257">
        <v>837.2</v>
      </c>
      <c r="AF236" s="257">
        <v>832.1</v>
      </c>
      <c r="AG236" s="257">
        <v>0</v>
      </c>
      <c r="AH236" s="257" t="s">
        <v>577</v>
      </c>
      <c r="AI236" s="257" t="s">
        <v>577</v>
      </c>
      <c r="AJ236" s="257">
        <v>0</v>
      </c>
      <c r="AK236" s="257" t="s">
        <v>577</v>
      </c>
      <c r="AL236" s="257" t="s">
        <v>577</v>
      </c>
      <c r="AM236" s="257">
        <v>32.6</v>
      </c>
      <c r="AN236" s="270">
        <v>-5.5</v>
      </c>
    </row>
    <row r="237" ht="20.2" customHeight="1" spans="1:40">
      <c r="A237" s="372"/>
      <c r="B237" s="361">
        <v>11</v>
      </c>
      <c r="C237" s="357" t="s">
        <v>1653</v>
      </c>
      <c r="D237" s="358" t="s">
        <v>1654</v>
      </c>
      <c r="E237" s="257" t="s">
        <v>1655</v>
      </c>
      <c r="F237" s="257" t="s">
        <v>1656</v>
      </c>
      <c r="G237" s="257">
        <v>1502.4</v>
      </c>
      <c r="H237" s="257" t="s">
        <v>47</v>
      </c>
      <c r="I237" s="257">
        <v>17.5</v>
      </c>
      <c r="J237" s="257">
        <v>9.2</v>
      </c>
      <c r="K237" s="257">
        <v>11.2</v>
      </c>
      <c r="L237" s="257">
        <v>7.7</v>
      </c>
      <c r="M237" s="257">
        <v>65</v>
      </c>
      <c r="N237" s="257">
        <v>28.6</v>
      </c>
      <c r="O237" s="257">
        <v>21.3</v>
      </c>
      <c r="P237" s="257">
        <v>25.2</v>
      </c>
      <c r="Q237" s="257">
        <v>69</v>
      </c>
      <c r="R237" s="257">
        <v>23.6</v>
      </c>
      <c r="S237" s="257">
        <v>1</v>
      </c>
      <c r="T237" s="257" t="s">
        <v>162</v>
      </c>
      <c r="U237" s="257" t="s">
        <v>1657</v>
      </c>
      <c r="V237" s="257">
        <v>2.4</v>
      </c>
      <c r="W237" s="257">
        <v>1</v>
      </c>
      <c r="X237" s="257" t="s">
        <v>288</v>
      </c>
      <c r="Y237" s="257" t="s">
        <v>1519</v>
      </c>
      <c r="Z237" s="257">
        <v>2.9</v>
      </c>
      <c r="AA237" s="257" t="s">
        <v>80</v>
      </c>
      <c r="AB237" s="257" t="s">
        <v>1658</v>
      </c>
      <c r="AC237" s="257">
        <v>71</v>
      </c>
      <c r="AD237" s="257" t="s">
        <v>577</v>
      </c>
      <c r="AE237" s="257">
        <v>851.2</v>
      </c>
      <c r="AF237" s="257">
        <v>845.4</v>
      </c>
      <c r="AG237" s="257">
        <v>0</v>
      </c>
      <c r="AH237" s="257" t="s">
        <v>577</v>
      </c>
      <c r="AI237" s="257" t="s">
        <v>577</v>
      </c>
      <c r="AJ237" s="257">
        <v>0</v>
      </c>
      <c r="AK237" s="257" t="s">
        <v>577</v>
      </c>
      <c r="AL237" s="257" t="s">
        <v>577</v>
      </c>
      <c r="AM237" s="257">
        <v>34.1</v>
      </c>
      <c r="AN237" s="270">
        <v>-1.3</v>
      </c>
    </row>
    <row r="238" ht="20.2" customHeight="1" spans="1:40">
      <c r="A238" s="372"/>
      <c r="B238" s="361">
        <v>12</v>
      </c>
      <c r="C238" s="357" t="s">
        <v>1659</v>
      </c>
      <c r="D238" s="358" t="s">
        <v>1660</v>
      </c>
      <c r="E238" s="257" t="s">
        <v>1598</v>
      </c>
      <c r="F238" s="257" t="s">
        <v>1661</v>
      </c>
      <c r="G238" s="257">
        <v>1772</v>
      </c>
      <c r="H238" s="257" t="s">
        <v>47</v>
      </c>
      <c r="I238" s="257">
        <v>16</v>
      </c>
      <c r="J238" s="257">
        <v>5.6</v>
      </c>
      <c r="K238" s="257">
        <v>8.7</v>
      </c>
      <c r="L238" s="257">
        <v>3.2</v>
      </c>
      <c r="M238" s="257">
        <v>75</v>
      </c>
      <c r="N238" s="257">
        <v>28</v>
      </c>
      <c r="O238" s="257">
        <v>20.1</v>
      </c>
      <c r="P238" s="257">
        <v>24.6</v>
      </c>
      <c r="Q238" s="257">
        <v>61</v>
      </c>
      <c r="R238" s="257">
        <v>23.9</v>
      </c>
      <c r="S238" s="257">
        <v>1.5</v>
      </c>
      <c r="T238" s="257" t="s">
        <v>285</v>
      </c>
      <c r="U238" s="257" t="s">
        <v>1662</v>
      </c>
      <c r="V238" s="257">
        <v>2.6</v>
      </c>
      <c r="W238" s="257">
        <v>1.5</v>
      </c>
      <c r="X238" s="257" t="s">
        <v>285</v>
      </c>
      <c r="Y238" s="257" t="s">
        <v>1663</v>
      </c>
      <c r="Z238" s="257">
        <v>2.8</v>
      </c>
      <c r="AA238" s="257" t="s">
        <v>285</v>
      </c>
      <c r="AB238" s="257" t="s">
        <v>1664</v>
      </c>
      <c r="AC238" s="257">
        <v>66</v>
      </c>
      <c r="AD238" s="257" t="s">
        <v>577</v>
      </c>
      <c r="AE238" s="257">
        <v>823.3</v>
      </c>
      <c r="AF238" s="257">
        <v>818.8</v>
      </c>
      <c r="AG238" s="257">
        <v>0</v>
      </c>
      <c r="AH238" s="257" t="s">
        <v>577</v>
      </c>
      <c r="AI238" s="257" t="s">
        <v>577</v>
      </c>
      <c r="AJ238" s="257">
        <v>8</v>
      </c>
      <c r="AK238" s="257" t="s">
        <v>1665</v>
      </c>
      <c r="AL238" s="257">
        <v>7.9</v>
      </c>
      <c r="AM238" s="257">
        <v>33</v>
      </c>
      <c r="AN238" s="270">
        <v>-4.8</v>
      </c>
    </row>
    <row r="239" ht="20.2" customHeight="1" spans="1:40">
      <c r="A239" s="372"/>
      <c r="B239" s="361">
        <v>13</v>
      </c>
      <c r="C239" s="357" t="s">
        <v>1666</v>
      </c>
      <c r="D239" s="358" t="s">
        <v>1667</v>
      </c>
      <c r="E239" s="257" t="s">
        <v>1668</v>
      </c>
      <c r="F239" s="257" t="s">
        <v>1669</v>
      </c>
      <c r="G239" s="257">
        <v>1990.5</v>
      </c>
      <c r="H239" s="257" t="s">
        <v>47</v>
      </c>
      <c r="I239" s="257">
        <v>14.9</v>
      </c>
      <c r="J239" s="257">
        <v>5.2</v>
      </c>
      <c r="K239" s="257">
        <v>8.2</v>
      </c>
      <c r="L239" s="257">
        <v>3.5</v>
      </c>
      <c r="M239" s="257">
        <v>66</v>
      </c>
      <c r="N239" s="257">
        <v>26.2</v>
      </c>
      <c r="O239" s="257">
        <v>20.2</v>
      </c>
      <c r="P239" s="257">
        <v>23.3</v>
      </c>
      <c r="Q239" s="257">
        <v>64</v>
      </c>
      <c r="R239" s="257">
        <v>22.3</v>
      </c>
      <c r="S239" s="257">
        <v>1.9</v>
      </c>
      <c r="T239" s="257" t="s">
        <v>132</v>
      </c>
      <c r="U239" s="257" t="s">
        <v>103</v>
      </c>
      <c r="V239" s="257">
        <v>2.4</v>
      </c>
      <c r="W239" s="257">
        <v>3.4</v>
      </c>
      <c r="X239" s="257" t="s">
        <v>90</v>
      </c>
      <c r="Y239" s="257" t="s">
        <v>1670</v>
      </c>
      <c r="Z239" s="257">
        <v>3.9</v>
      </c>
      <c r="AA239" s="257" t="s">
        <v>90</v>
      </c>
      <c r="AB239" s="257" t="s">
        <v>786</v>
      </c>
      <c r="AC239" s="257">
        <v>68</v>
      </c>
      <c r="AD239" s="257" t="s">
        <v>577</v>
      </c>
      <c r="AE239" s="257">
        <v>802</v>
      </c>
      <c r="AF239" s="257">
        <v>798.7</v>
      </c>
      <c r="AG239" s="257">
        <v>0</v>
      </c>
      <c r="AH239" s="257" t="s">
        <v>577</v>
      </c>
      <c r="AI239" s="257" t="s">
        <v>577</v>
      </c>
      <c r="AJ239" s="257">
        <v>29</v>
      </c>
      <c r="AK239" s="257" t="s">
        <v>1671</v>
      </c>
      <c r="AL239" s="257">
        <v>7.5</v>
      </c>
      <c r="AM239" s="257">
        <v>31.6</v>
      </c>
      <c r="AN239" s="270">
        <v>-4.2</v>
      </c>
    </row>
    <row r="240" ht="20.2" customHeight="1" spans="1:40">
      <c r="A240" s="372"/>
      <c r="B240" s="361">
        <v>14</v>
      </c>
      <c r="C240" s="357" t="s">
        <v>1672</v>
      </c>
      <c r="D240" s="358" t="s">
        <v>1673</v>
      </c>
      <c r="E240" s="257" t="s">
        <v>1674</v>
      </c>
      <c r="F240" s="257" t="s">
        <v>1675</v>
      </c>
      <c r="G240" s="257">
        <v>776.6</v>
      </c>
      <c r="H240" s="257" t="s">
        <v>47</v>
      </c>
      <c r="I240" s="257">
        <v>20.3</v>
      </c>
      <c r="J240" s="257">
        <v>10.9</v>
      </c>
      <c r="K240" s="257">
        <v>13</v>
      </c>
      <c r="L240" s="257">
        <v>9.9</v>
      </c>
      <c r="M240" s="257">
        <v>78</v>
      </c>
      <c r="N240" s="257">
        <v>31.4</v>
      </c>
      <c r="O240" s="257">
        <v>24.5</v>
      </c>
      <c r="P240" s="257">
        <v>27.5</v>
      </c>
      <c r="Q240" s="257">
        <v>72</v>
      </c>
      <c r="R240" s="257">
        <v>26.4</v>
      </c>
      <c r="S240" s="257">
        <v>1.1</v>
      </c>
      <c r="T240" s="257" t="s">
        <v>285</v>
      </c>
      <c r="U240" s="257" t="s">
        <v>1253</v>
      </c>
      <c r="V240" s="257">
        <v>2.5</v>
      </c>
      <c r="W240" s="257">
        <v>0.7</v>
      </c>
      <c r="X240" s="257" t="s">
        <v>285</v>
      </c>
      <c r="Y240" s="257" t="s">
        <v>135</v>
      </c>
      <c r="Z240" s="257">
        <v>1.8</v>
      </c>
      <c r="AA240" s="257" t="s">
        <v>285</v>
      </c>
      <c r="AB240" s="257" t="s">
        <v>1676</v>
      </c>
      <c r="AC240" s="257">
        <v>66</v>
      </c>
      <c r="AD240" s="257" t="s">
        <v>577</v>
      </c>
      <c r="AE240" s="257">
        <v>927.6</v>
      </c>
      <c r="AF240" s="257">
        <v>918.6</v>
      </c>
      <c r="AG240" s="257">
        <v>0</v>
      </c>
      <c r="AH240" s="257" t="s">
        <v>577</v>
      </c>
      <c r="AI240" s="257" t="s">
        <v>577</v>
      </c>
      <c r="AJ240" s="257">
        <v>0</v>
      </c>
      <c r="AK240" s="257" t="s">
        <v>577</v>
      </c>
      <c r="AL240" s="257" t="s">
        <v>577</v>
      </c>
      <c r="AM240" s="257">
        <v>36.4</v>
      </c>
      <c r="AN240" s="270">
        <v>1.4</v>
      </c>
    </row>
    <row r="241" ht="20.2" customHeight="1" spans="1:40">
      <c r="A241" s="372"/>
      <c r="B241" s="361">
        <v>15</v>
      </c>
      <c r="C241" s="357" t="s">
        <v>1677</v>
      </c>
      <c r="D241" s="358" t="s">
        <v>1678</v>
      </c>
      <c r="E241" s="257" t="s">
        <v>1679</v>
      </c>
      <c r="F241" s="257" t="s">
        <v>1680</v>
      </c>
      <c r="G241" s="257">
        <v>1804.9</v>
      </c>
      <c r="H241" s="257" t="s">
        <v>47</v>
      </c>
      <c r="I241" s="257">
        <v>15.2</v>
      </c>
      <c r="J241" s="257">
        <v>6.7</v>
      </c>
      <c r="K241" s="257">
        <v>9.2</v>
      </c>
      <c r="L241" s="257">
        <v>5.6</v>
      </c>
      <c r="M241" s="257">
        <v>56</v>
      </c>
      <c r="N241" s="257">
        <v>26.7</v>
      </c>
      <c r="O241" s="257">
        <v>20</v>
      </c>
      <c r="P241" s="257">
        <v>22.4</v>
      </c>
      <c r="Q241" s="257">
        <v>78</v>
      </c>
      <c r="R241" s="257">
        <v>22.4</v>
      </c>
      <c r="S241" s="257">
        <v>2.1</v>
      </c>
      <c r="T241" s="257" t="s">
        <v>309</v>
      </c>
      <c r="U241" s="257">
        <v>30</v>
      </c>
      <c r="V241" s="257">
        <v>2.3</v>
      </c>
      <c r="W241" s="257">
        <v>2.1</v>
      </c>
      <c r="X241" s="257" t="s">
        <v>80</v>
      </c>
      <c r="Y241" s="257" t="s">
        <v>693</v>
      </c>
      <c r="Z241" s="257">
        <v>2.4</v>
      </c>
      <c r="AA241" s="257" t="s">
        <v>309</v>
      </c>
      <c r="AB241" s="257">
        <v>18</v>
      </c>
      <c r="AC241" s="257">
        <v>68</v>
      </c>
      <c r="AD241" s="257" t="s">
        <v>577</v>
      </c>
      <c r="AE241" s="257">
        <v>820.9</v>
      </c>
      <c r="AF241" s="257">
        <v>816.2</v>
      </c>
      <c r="AG241" s="257">
        <v>0</v>
      </c>
      <c r="AH241" s="257" t="s">
        <v>577</v>
      </c>
      <c r="AI241" s="257" t="s">
        <v>577</v>
      </c>
      <c r="AJ241" s="257">
        <v>0</v>
      </c>
      <c r="AK241" s="257" t="s">
        <v>577</v>
      </c>
      <c r="AL241" s="257" t="s">
        <v>577</v>
      </c>
      <c r="AM241" s="257">
        <v>32.5</v>
      </c>
      <c r="AN241" s="270">
        <v>-0.5</v>
      </c>
    </row>
    <row r="242" s="301" customFormat="1" ht="20.2" customHeight="1" spans="1:40">
      <c r="A242" s="399"/>
      <c r="B242" s="356">
        <v>16</v>
      </c>
      <c r="C242" s="405" t="s">
        <v>1681</v>
      </c>
      <c r="D242" s="404" t="s">
        <v>1682</v>
      </c>
      <c r="E242" s="404" t="s">
        <v>1683</v>
      </c>
      <c r="F242" s="404" t="s">
        <v>1684</v>
      </c>
      <c r="G242" s="404">
        <v>3276.1</v>
      </c>
      <c r="H242" s="404" t="s">
        <v>47</v>
      </c>
      <c r="I242" s="404">
        <v>5.9</v>
      </c>
      <c r="J242" s="404">
        <v>-6.1</v>
      </c>
      <c r="K242" s="404">
        <v>-3.2</v>
      </c>
      <c r="L242" s="404">
        <v>-8.6</v>
      </c>
      <c r="M242" s="404">
        <v>60</v>
      </c>
      <c r="N242" s="404">
        <v>20.8</v>
      </c>
      <c r="O242" s="404">
        <v>13.8</v>
      </c>
      <c r="P242" s="404">
        <v>17.9</v>
      </c>
      <c r="Q242" s="404">
        <v>63</v>
      </c>
      <c r="R242" s="404">
        <v>15.6</v>
      </c>
      <c r="S242" s="404">
        <v>2.1</v>
      </c>
      <c r="T242" s="404" t="s">
        <v>130</v>
      </c>
      <c r="U242" s="404" t="s">
        <v>1685</v>
      </c>
      <c r="V242" s="404">
        <v>3.6</v>
      </c>
      <c r="W242" s="404">
        <v>2.4</v>
      </c>
      <c r="X242" s="404" t="s">
        <v>130</v>
      </c>
      <c r="Y242" s="404" t="s">
        <v>1334</v>
      </c>
      <c r="Z242" s="404">
        <v>3.9</v>
      </c>
      <c r="AA242" s="404" t="s">
        <v>130</v>
      </c>
      <c r="AB242" s="404" t="s">
        <v>1686</v>
      </c>
      <c r="AC242" s="257">
        <v>72</v>
      </c>
      <c r="AD242" s="404">
        <v>25</v>
      </c>
      <c r="AE242" s="404">
        <v>684.5</v>
      </c>
      <c r="AF242" s="404">
        <v>685.8</v>
      </c>
      <c r="AG242" s="404">
        <v>176</v>
      </c>
      <c r="AH242" s="404" t="s">
        <v>1687</v>
      </c>
      <c r="AI242" s="404">
        <v>0.1</v>
      </c>
      <c r="AJ242" s="404">
        <v>208</v>
      </c>
      <c r="AK242" s="404" t="s">
        <v>1688</v>
      </c>
      <c r="AL242" s="404">
        <v>1.1</v>
      </c>
      <c r="AM242" s="404">
        <v>25.6</v>
      </c>
      <c r="AN242" s="406">
        <v>-27.4</v>
      </c>
    </row>
    <row r="243" s="306" customFormat="1" ht="20.2" customHeight="1" spans="1:40">
      <c r="A243" s="424" t="s">
        <v>1689</v>
      </c>
      <c r="B243" s="255">
        <v>1</v>
      </c>
      <c r="C243" s="253" t="s">
        <v>1690</v>
      </c>
      <c r="D243" s="255" t="s">
        <v>1691</v>
      </c>
      <c r="E243" s="255" t="s">
        <v>1692</v>
      </c>
      <c r="F243" s="255" t="s">
        <v>1693</v>
      </c>
      <c r="G243" s="469">
        <v>3648.7</v>
      </c>
      <c r="H243" s="469" t="s">
        <v>47</v>
      </c>
      <c r="I243" s="255">
        <v>8</v>
      </c>
      <c r="J243" s="255">
        <v>-5.2</v>
      </c>
      <c r="K243" s="255">
        <v>-1.6</v>
      </c>
      <c r="L243" s="255">
        <v>-7.6</v>
      </c>
      <c r="M243" s="255">
        <v>28</v>
      </c>
      <c r="N243" s="255">
        <v>24.1</v>
      </c>
      <c r="O243" s="255">
        <v>13.5</v>
      </c>
      <c r="P243" s="255">
        <v>19.2</v>
      </c>
      <c r="Q243" s="255">
        <v>38</v>
      </c>
      <c r="R243" s="255">
        <v>19.2</v>
      </c>
      <c r="S243" s="255">
        <v>1.8</v>
      </c>
      <c r="T243" s="255" t="s">
        <v>278</v>
      </c>
      <c r="U243" s="255" t="s">
        <v>1694</v>
      </c>
      <c r="V243" s="255">
        <v>2.7</v>
      </c>
      <c r="W243" s="255">
        <v>2</v>
      </c>
      <c r="X243" s="255" t="s">
        <v>90</v>
      </c>
      <c r="Y243" s="255" t="s">
        <v>1695</v>
      </c>
      <c r="Z243" s="255">
        <v>2.3</v>
      </c>
      <c r="AA243" s="255" t="s">
        <v>278</v>
      </c>
      <c r="AB243" s="255" t="s">
        <v>1188</v>
      </c>
      <c r="AC243" s="255">
        <v>77</v>
      </c>
      <c r="AD243" s="255">
        <v>19</v>
      </c>
      <c r="AE243" s="255">
        <v>650.6</v>
      </c>
      <c r="AF243" s="255">
        <v>652.9</v>
      </c>
      <c r="AG243" s="255">
        <v>132</v>
      </c>
      <c r="AH243" s="255" t="s">
        <v>1696</v>
      </c>
      <c r="AI243" s="255">
        <v>0.61</v>
      </c>
      <c r="AJ243" s="255">
        <v>179</v>
      </c>
      <c r="AK243" s="255" t="s">
        <v>1697</v>
      </c>
      <c r="AL243" s="255">
        <v>2.17</v>
      </c>
      <c r="AM243" s="255">
        <v>29.9</v>
      </c>
      <c r="AN243" s="437">
        <v>-16.5</v>
      </c>
    </row>
    <row r="244" ht="20.2" customHeight="1" spans="1:40">
      <c r="A244" s="459"/>
      <c r="B244" s="255">
        <v>2</v>
      </c>
      <c r="C244" s="253" t="s">
        <v>1698</v>
      </c>
      <c r="D244" s="255" t="s">
        <v>1699</v>
      </c>
      <c r="E244" s="257" t="s">
        <v>1700</v>
      </c>
      <c r="F244" s="257" t="s">
        <v>1701</v>
      </c>
      <c r="G244" s="261">
        <v>3306</v>
      </c>
      <c r="H244" s="261" t="s">
        <v>47</v>
      </c>
      <c r="I244" s="257">
        <v>7.6</v>
      </c>
      <c r="J244" s="257">
        <v>-5.9</v>
      </c>
      <c r="K244" s="257">
        <v>-2.3</v>
      </c>
      <c r="L244" s="257">
        <v>-7.6</v>
      </c>
      <c r="M244" s="257">
        <v>37</v>
      </c>
      <c r="N244" s="257">
        <v>26.2</v>
      </c>
      <c r="O244" s="257">
        <v>15.1</v>
      </c>
      <c r="P244" s="257">
        <v>21.6</v>
      </c>
      <c r="Q244" s="257">
        <v>46</v>
      </c>
      <c r="R244" s="257">
        <v>19.6</v>
      </c>
      <c r="S244" s="257">
        <v>1.2</v>
      </c>
      <c r="T244" s="257" t="s">
        <v>132</v>
      </c>
      <c r="U244" s="257" t="s">
        <v>1400</v>
      </c>
      <c r="V244" s="257">
        <v>2.1</v>
      </c>
      <c r="W244" s="257">
        <v>0.9</v>
      </c>
      <c r="X244" s="257" t="s">
        <v>132</v>
      </c>
      <c r="Y244" s="257" t="s">
        <v>1702</v>
      </c>
      <c r="Z244" s="257">
        <v>2</v>
      </c>
      <c r="AA244" s="257" t="s">
        <v>132</v>
      </c>
      <c r="AB244" s="257" t="s">
        <v>1703</v>
      </c>
      <c r="AC244" s="257">
        <v>63</v>
      </c>
      <c r="AD244" s="257">
        <v>81</v>
      </c>
      <c r="AE244" s="257">
        <v>679.9</v>
      </c>
      <c r="AF244" s="257">
        <v>681.7</v>
      </c>
      <c r="AG244" s="257">
        <v>148</v>
      </c>
      <c r="AH244" s="257" t="s">
        <v>1704</v>
      </c>
      <c r="AI244" s="257">
        <v>3</v>
      </c>
      <c r="AJ244" s="257">
        <v>185</v>
      </c>
      <c r="AK244" s="257" t="s">
        <v>1705</v>
      </c>
      <c r="AL244" s="257">
        <v>1.6</v>
      </c>
      <c r="AM244" s="257">
        <v>33.4</v>
      </c>
      <c r="AN244" s="270">
        <v>-20.7</v>
      </c>
    </row>
    <row r="245" ht="20.2" customHeight="1" spans="1:40">
      <c r="A245" s="459"/>
      <c r="B245" s="255">
        <v>3</v>
      </c>
      <c r="C245" s="253" t="s">
        <v>1706</v>
      </c>
      <c r="D245" s="255" t="s">
        <v>1707</v>
      </c>
      <c r="E245" s="257" t="s">
        <v>1708</v>
      </c>
      <c r="F245" s="257" t="s">
        <v>1709</v>
      </c>
      <c r="G245" s="261">
        <v>4507</v>
      </c>
      <c r="H245" s="261" t="s">
        <v>47</v>
      </c>
      <c r="I245" s="257">
        <v>-1.2</v>
      </c>
      <c r="J245" s="257">
        <v>-17.8</v>
      </c>
      <c r="K245" s="257">
        <v>12.6</v>
      </c>
      <c r="L245" s="257">
        <v>-21.9</v>
      </c>
      <c r="M245" s="257">
        <v>40</v>
      </c>
      <c r="N245" s="257">
        <v>17.2</v>
      </c>
      <c r="O245" s="257">
        <v>9.1</v>
      </c>
      <c r="P245" s="257">
        <v>13.3</v>
      </c>
      <c r="Q245" s="257">
        <v>52</v>
      </c>
      <c r="R245" s="257">
        <v>11.5</v>
      </c>
      <c r="S245" s="257">
        <v>2.5</v>
      </c>
      <c r="T245" s="257" t="s">
        <v>278</v>
      </c>
      <c r="U245" s="257" t="s">
        <v>1710</v>
      </c>
      <c r="V245" s="257">
        <v>3.5</v>
      </c>
      <c r="W245" s="257">
        <v>3</v>
      </c>
      <c r="X245" s="257" t="s">
        <v>92</v>
      </c>
      <c r="Y245" s="257" t="s">
        <v>1711</v>
      </c>
      <c r="Z245" s="257">
        <v>7.5</v>
      </c>
      <c r="AA245" s="257" t="s">
        <v>92</v>
      </c>
      <c r="AB245" s="257" t="s">
        <v>1712</v>
      </c>
      <c r="AC245" s="257">
        <v>71</v>
      </c>
      <c r="AD245" s="257">
        <v>281</v>
      </c>
      <c r="AE245" s="257">
        <v>583.9</v>
      </c>
      <c r="AF245" s="257">
        <v>589.1</v>
      </c>
      <c r="AG245" s="257">
        <v>254</v>
      </c>
      <c r="AH245" s="257" t="s">
        <v>1713</v>
      </c>
      <c r="AI245" s="257">
        <v>-5.3</v>
      </c>
      <c r="AJ245" s="257">
        <v>300</v>
      </c>
      <c r="AK245" s="257" t="s">
        <v>1714</v>
      </c>
      <c r="AL245" s="257">
        <v>-3.4</v>
      </c>
      <c r="AM245" s="257">
        <v>24.2</v>
      </c>
      <c r="AN245" s="270">
        <v>-37.6</v>
      </c>
    </row>
    <row r="246" s="298" customFormat="1" ht="20.2" customHeight="1" spans="1:40">
      <c r="A246" s="459"/>
      <c r="B246" s="364">
        <v>4</v>
      </c>
      <c r="C246" s="253" t="s">
        <v>1715</v>
      </c>
      <c r="D246" s="255" t="s">
        <v>1716</v>
      </c>
      <c r="E246" s="390" t="s">
        <v>1717</v>
      </c>
      <c r="F246" s="390" t="s">
        <v>1718</v>
      </c>
      <c r="G246" s="398">
        <v>3936</v>
      </c>
      <c r="H246" s="398" t="s">
        <v>47</v>
      </c>
      <c r="I246" s="390">
        <v>6.5</v>
      </c>
      <c r="J246" s="390">
        <v>-7.3</v>
      </c>
      <c r="K246" s="390">
        <v>-3.2</v>
      </c>
      <c r="L246" s="390">
        <v>-9.1</v>
      </c>
      <c r="M246" s="390">
        <v>28</v>
      </c>
      <c r="N246" s="390">
        <v>22.6</v>
      </c>
      <c r="O246" s="390">
        <v>13.4</v>
      </c>
      <c r="P246" s="390">
        <v>18.9</v>
      </c>
      <c r="Q246" s="390">
        <v>40</v>
      </c>
      <c r="R246" s="390">
        <v>17.1</v>
      </c>
      <c r="S246" s="390">
        <v>1.3</v>
      </c>
      <c r="T246" s="390" t="s">
        <v>211</v>
      </c>
      <c r="U246" s="390" t="s">
        <v>1719</v>
      </c>
      <c r="V246" s="390">
        <v>2.5</v>
      </c>
      <c r="W246" s="390">
        <v>1.8</v>
      </c>
      <c r="X246" s="390" t="s">
        <v>288</v>
      </c>
      <c r="Y246" s="390" t="s">
        <v>1720</v>
      </c>
      <c r="Z246" s="390">
        <v>4.5</v>
      </c>
      <c r="AA246" s="390" t="s">
        <v>288</v>
      </c>
      <c r="AB246" s="390" t="s">
        <v>1546</v>
      </c>
      <c r="AC246" s="390">
        <v>81</v>
      </c>
      <c r="AD246" s="390">
        <v>58</v>
      </c>
      <c r="AE246" s="390">
        <v>636.1</v>
      </c>
      <c r="AF246" s="390">
        <v>638.5</v>
      </c>
      <c r="AG246" s="390">
        <v>159</v>
      </c>
      <c r="AH246" s="390" t="s">
        <v>1721</v>
      </c>
      <c r="AI246" s="390">
        <v>-0.3</v>
      </c>
      <c r="AJ246" s="390">
        <v>194</v>
      </c>
      <c r="AK246" s="390" t="s">
        <v>1722</v>
      </c>
      <c r="AL246" s="390">
        <v>1</v>
      </c>
      <c r="AM246" s="390">
        <v>28.5</v>
      </c>
      <c r="AN246" s="391">
        <v>-21.3</v>
      </c>
    </row>
    <row r="247" ht="20.2" customHeight="1" spans="1:40">
      <c r="A247" s="459"/>
      <c r="B247" s="255">
        <v>5</v>
      </c>
      <c r="C247" s="253" t="s">
        <v>1723</v>
      </c>
      <c r="D247" s="255" t="s">
        <v>1724</v>
      </c>
      <c r="E247" s="257" t="s">
        <v>1692</v>
      </c>
      <c r="F247" s="257" t="s">
        <v>1725</v>
      </c>
      <c r="G247" s="261">
        <v>2991.8</v>
      </c>
      <c r="H247" s="261" t="s">
        <v>47</v>
      </c>
      <c r="I247" s="257">
        <v>8.7</v>
      </c>
      <c r="J247" s="257">
        <v>-2</v>
      </c>
      <c r="K247" s="257">
        <v>0.5</v>
      </c>
      <c r="L247" s="257">
        <v>-3.7</v>
      </c>
      <c r="M247" s="257">
        <v>49</v>
      </c>
      <c r="N247" s="257">
        <v>22.9</v>
      </c>
      <c r="O247" s="257">
        <v>15.6</v>
      </c>
      <c r="P247" s="257">
        <v>19.9</v>
      </c>
      <c r="Q247" s="257">
        <v>61</v>
      </c>
      <c r="R247" s="257">
        <v>17.9</v>
      </c>
      <c r="S247" s="257">
        <v>1.6</v>
      </c>
      <c r="T247" s="257" t="s">
        <v>497</v>
      </c>
      <c r="U247" s="257" t="s">
        <v>857</v>
      </c>
      <c r="V247" s="257">
        <v>2.1</v>
      </c>
      <c r="W247" s="257">
        <v>2</v>
      </c>
      <c r="X247" s="257" t="s">
        <v>497</v>
      </c>
      <c r="Y247" s="257" t="s">
        <v>915</v>
      </c>
      <c r="Z247" s="257">
        <v>2.3</v>
      </c>
      <c r="AA247" s="257" t="s">
        <v>497</v>
      </c>
      <c r="AB247" s="257" t="s">
        <v>1662</v>
      </c>
      <c r="AC247" s="257">
        <v>57</v>
      </c>
      <c r="AD247" s="257">
        <v>13</v>
      </c>
      <c r="AE247" s="257">
        <v>706.5</v>
      </c>
      <c r="AF247" s="257">
        <v>706.2</v>
      </c>
      <c r="AG247" s="257">
        <v>116</v>
      </c>
      <c r="AH247" s="257" t="s">
        <v>1726</v>
      </c>
      <c r="AI247" s="257">
        <v>2</v>
      </c>
      <c r="AJ247" s="257">
        <v>172</v>
      </c>
      <c r="AK247" s="257" t="s">
        <v>1727</v>
      </c>
      <c r="AL247" s="257">
        <v>3.4</v>
      </c>
      <c r="AM247" s="257">
        <v>30.3</v>
      </c>
      <c r="AN247" s="270">
        <v>-13.7</v>
      </c>
    </row>
    <row r="248" ht="20.2" customHeight="1" spans="1:40">
      <c r="A248" s="459"/>
      <c r="B248" s="255">
        <v>6</v>
      </c>
      <c r="C248" s="253" t="s">
        <v>1728</v>
      </c>
      <c r="D248" s="255" t="s">
        <v>1729</v>
      </c>
      <c r="E248" s="257" t="s">
        <v>1730</v>
      </c>
      <c r="F248" s="257" t="s">
        <v>1731</v>
      </c>
      <c r="G248" s="261">
        <v>4278</v>
      </c>
      <c r="H248" s="261" t="s">
        <v>47</v>
      </c>
      <c r="I248" s="257">
        <v>0.4</v>
      </c>
      <c r="J248" s="257">
        <v>-19.8</v>
      </c>
      <c r="K248" s="257">
        <v>-12.4</v>
      </c>
      <c r="L248" s="257">
        <v>-24.5</v>
      </c>
      <c r="M248" s="257">
        <v>37</v>
      </c>
      <c r="N248" s="257">
        <v>22</v>
      </c>
      <c r="O248" s="257">
        <v>9.5</v>
      </c>
      <c r="P248" s="257">
        <v>17</v>
      </c>
      <c r="Q248" s="257">
        <v>31</v>
      </c>
      <c r="R248" s="257">
        <v>16.4</v>
      </c>
      <c r="S248" s="257">
        <v>3.2</v>
      </c>
      <c r="T248" s="257" t="s">
        <v>288</v>
      </c>
      <c r="U248" s="257" t="s">
        <v>1732</v>
      </c>
      <c r="V248" s="257">
        <v>5</v>
      </c>
      <c r="W248" s="257">
        <v>2.6</v>
      </c>
      <c r="X248" s="257" t="s">
        <v>288</v>
      </c>
      <c r="Y248" s="257" t="s">
        <v>1272</v>
      </c>
      <c r="Z248" s="257">
        <v>5.7</v>
      </c>
      <c r="AA248" s="257" t="s">
        <v>288</v>
      </c>
      <c r="AB248" s="257" t="s">
        <v>431</v>
      </c>
      <c r="AC248" s="257">
        <v>80</v>
      </c>
      <c r="AD248" s="257" t="s">
        <v>577</v>
      </c>
      <c r="AE248" s="257">
        <v>602</v>
      </c>
      <c r="AF248" s="257">
        <v>604.8</v>
      </c>
      <c r="AG248" s="257">
        <v>238</v>
      </c>
      <c r="AH248" s="257" t="s">
        <v>1733</v>
      </c>
      <c r="AI248" s="257">
        <v>-5.5</v>
      </c>
      <c r="AJ248" s="257">
        <v>263</v>
      </c>
      <c r="AK248" s="257" t="s">
        <v>1734</v>
      </c>
      <c r="AL248" s="257">
        <v>-4.3</v>
      </c>
      <c r="AM248" s="257">
        <v>27.6</v>
      </c>
      <c r="AN248" s="270">
        <v>-36.6</v>
      </c>
    </row>
    <row r="249" s="306" customFormat="1" ht="20.2" customHeight="1" spans="1:40">
      <c r="A249" s="459"/>
      <c r="B249" s="364">
        <v>7</v>
      </c>
      <c r="C249" s="253" t="s">
        <v>1735</v>
      </c>
      <c r="D249" s="255" t="s">
        <v>1736</v>
      </c>
      <c r="E249" s="255" t="s">
        <v>1737</v>
      </c>
      <c r="F249" s="255" t="s">
        <v>1738</v>
      </c>
      <c r="G249" s="469">
        <v>9280</v>
      </c>
      <c r="H249" s="469" t="s">
        <v>47</v>
      </c>
      <c r="I249" s="255">
        <v>-0.3</v>
      </c>
      <c r="J249" s="255">
        <v>-14.4</v>
      </c>
      <c r="K249" s="255">
        <v>9.9</v>
      </c>
      <c r="L249" s="255">
        <v>-18.2</v>
      </c>
      <c r="M249" s="255">
        <v>64</v>
      </c>
      <c r="N249" s="255">
        <v>13.2</v>
      </c>
      <c r="O249" s="255">
        <v>8.7</v>
      </c>
      <c r="P249" s="255">
        <v>11.2</v>
      </c>
      <c r="Q249" s="255">
        <v>68</v>
      </c>
      <c r="R249" s="255">
        <v>9</v>
      </c>
      <c r="S249" s="255">
        <v>4.1</v>
      </c>
      <c r="T249" s="255" t="s">
        <v>309</v>
      </c>
      <c r="U249" s="255">
        <v>31</v>
      </c>
      <c r="V249" s="255">
        <v>5.7</v>
      </c>
      <c r="W249" s="255">
        <v>3.6</v>
      </c>
      <c r="X249" s="255" t="s">
        <v>285</v>
      </c>
      <c r="Y249" s="255" t="s">
        <v>1739</v>
      </c>
      <c r="Z249" s="255">
        <v>5.6</v>
      </c>
      <c r="AA249" s="255" t="s">
        <v>309</v>
      </c>
      <c r="AB249" s="255">
        <v>25</v>
      </c>
      <c r="AC249" s="255">
        <v>77</v>
      </c>
      <c r="AD249" s="255">
        <v>86</v>
      </c>
      <c r="AE249" s="255">
        <v>598.3</v>
      </c>
      <c r="AF249" s="255">
        <v>602.7</v>
      </c>
      <c r="AG249" s="255">
        <v>251</v>
      </c>
      <c r="AH249" s="255" t="s">
        <v>1740</v>
      </c>
      <c r="AI249" s="255">
        <v>-3.7</v>
      </c>
      <c r="AJ249" s="255">
        <v>365</v>
      </c>
      <c r="AK249" s="255" t="s">
        <v>1741</v>
      </c>
      <c r="AL249" s="255">
        <v>-0.1</v>
      </c>
      <c r="AM249" s="255">
        <v>18.4</v>
      </c>
      <c r="AN249" s="437">
        <v>-37</v>
      </c>
    </row>
    <row r="250" ht="20.2" customHeight="1" spans="1:40">
      <c r="A250" s="447" t="s">
        <v>1742</v>
      </c>
      <c r="B250" s="439">
        <v>1</v>
      </c>
      <c r="C250" s="357" t="s">
        <v>1743</v>
      </c>
      <c r="D250" s="358" t="s">
        <v>1744</v>
      </c>
      <c r="E250" s="257" t="s">
        <v>1745</v>
      </c>
      <c r="F250" s="257" t="s">
        <v>1746</v>
      </c>
      <c r="G250" s="257">
        <v>397.5</v>
      </c>
      <c r="H250" s="257" t="s">
        <v>47</v>
      </c>
      <c r="I250" s="257">
        <v>13.7</v>
      </c>
      <c r="J250" s="257">
        <v>-3.4</v>
      </c>
      <c r="K250" s="257">
        <v>-0.1</v>
      </c>
      <c r="L250" s="257">
        <v>-5.7</v>
      </c>
      <c r="M250" s="257">
        <v>66</v>
      </c>
      <c r="N250" s="257">
        <v>35</v>
      </c>
      <c r="O250" s="257">
        <v>25.8</v>
      </c>
      <c r="P250" s="257">
        <v>30.6</v>
      </c>
      <c r="Q250" s="257">
        <v>58</v>
      </c>
      <c r="R250" s="257">
        <v>30.7</v>
      </c>
      <c r="S250" s="257">
        <v>1.9</v>
      </c>
      <c r="T250" s="257" t="s">
        <v>198</v>
      </c>
      <c r="U250" s="257" t="s">
        <v>1104</v>
      </c>
      <c r="V250" s="257">
        <v>2.5</v>
      </c>
      <c r="W250" s="257">
        <v>1.4</v>
      </c>
      <c r="X250" s="257" t="s">
        <v>198</v>
      </c>
      <c r="Y250" s="257" t="s">
        <v>730</v>
      </c>
      <c r="Z250" s="257">
        <v>2.5</v>
      </c>
      <c r="AA250" s="257" t="s">
        <v>198</v>
      </c>
      <c r="AB250" s="257" t="s">
        <v>1747</v>
      </c>
      <c r="AC250" s="257">
        <v>32</v>
      </c>
      <c r="AD250" s="257">
        <v>37</v>
      </c>
      <c r="AE250" s="257">
        <v>979.1</v>
      </c>
      <c r="AF250" s="257">
        <v>959.8</v>
      </c>
      <c r="AG250" s="257">
        <v>100</v>
      </c>
      <c r="AH250" s="257" t="s">
        <v>1748</v>
      </c>
      <c r="AI250" s="257">
        <v>1.5</v>
      </c>
      <c r="AJ250" s="257">
        <v>127</v>
      </c>
      <c r="AK250" s="257" t="s">
        <v>1749</v>
      </c>
      <c r="AL250" s="257">
        <v>2.6</v>
      </c>
      <c r="AM250" s="257">
        <v>41.8</v>
      </c>
      <c r="AN250" s="270">
        <v>-12.8</v>
      </c>
    </row>
    <row r="251" ht="20.2" customHeight="1" spans="1:40">
      <c r="A251" s="375"/>
      <c r="B251" s="439">
        <v>2</v>
      </c>
      <c r="C251" s="357" t="s">
        <v>1750</v>
      </c>
      <c r="D251" s="358" t="s">
        <v>1751</v>
      </c>
      <c r="E251" s="257" t="s">
        <v>1752</v>
      </c>
      <c r="F251" s="257" t="s">
        <v>1427</v>
      </c>
      <c r="G251" s="257">
        <v>958.5</v>
      </c>
      <c r="H251" s="257" t="s">
        <v>47</v>
      </c>
      <c r="I251" s="257">
        <v>9.9</v>
      </c>
      <c r="J251" s="257">
        <v>-10.3</v>
      </c>
      <c r="K251" s="257">
        <v>-5.5</v>
      </c>
      <c r="L251" s="257">
        <v>-13.3</v>
      </c>
      <c r="M251" s="257">
        <v>53</v>
      </c>
      <c r="N251" s="257">
        <v>32.4</v>
      </c>
      <c r="O251" s="257">
        <v>22.8</v>
      </c>
      <c r="P251" s="257">
        <v>28.1</v>
      </c>
      <c r="Q251" s="257">
        <v>52</v>
      </c>
      <c r="R251" s="257">
        <v>26.1</v>
      </c>
      <c r="S251" s="257">
        <v>1.6</v>
      </c>
      <c r="T251" s="257" t="s">
        <v>285</v>
      </c>
      <c r="U251" s="257" t="s">
        <v>1049</v>
      </c>
      <c r="V251" s="257">
        <v>2.2</v>
      </c>
      <c r="W251" s="257">
        <v>1.8</v>
      </c>
      <c r="X251" s="257" t="s">
        <v>285</v>
      </c>
      <c r="Y251" s="257" t="s">
        <v>1753</v>
      </c>
      <c r="Z251" s="257">
        <v>2.4</v>
      </c>
      <c r="AA251" s="257" t="s">
        <v>285</v>
      </c>
      <c r="AB251" s="257" t="s">
        <v>1754</v>
      </c>
      <c r="AC251" s="257">
        <v>61</v>
      </c>
      <c r="AD251" s="257">
        <v>77</v>
      </c>
      <c r="AE251" s="257">
        <v>913.8</v>
      </c>
      <c r="AF251" s="257">
        <v>900.7</v>
      </c>
      <c r="AG251" s="257">
        <v>133</v>
      </c>
      <c r="AH251" s="257" t="s">
        <v>1755</v>
      </c>
      <c r="AI251" s="257">
        <v>-1.9</v>
      </c>
      <c r="AJ251" s="257">
        <v>159</v>
      </c>
      <c r="AK251" s="257" t="s">
        <v>1756</v>
      </c>
      <c r="AL251" s="257">
        <v>-0.5</v>
      </c>
      <c r="AM251" s="257">
        <v>38.3</v>
      </c>
      <c r="AN251" s="270">
        <v>-23</v>
      </c>
    </row>
    <row r="252" ht="20.2" customHeight="1" spans="1:40">
      <c r="A252" s="375"/>
      <c r="B252" s="439">
        <v>3</v>
      </c>
      <c r="C252" s="357" t="s">
        <v>1757</v>
      </c>
      <c r="D252" s="358" t="s">
        <v>1758</v>
      </c>
      <c r="E252" s="257" t="s">
        <v>1759</v>
      </c>
      <c r="F252" s="257" t="s">
        <v>1760</v>
      </c>
      <c r="G252" s="257">
        <v>612.4</v>
      </c>
      <c r="H252" s="257" t="s">
        <v>47</v>
      </c>
      <c r="I252" s="257">
        <v>13.2</v>
      </c>
      <c r="J252" s="257">
        <v>-3.4</v>
      </c>
      <c r="K252" s="257">
        <v>0.1</v>
      </c>
      <c r="L252" s="257">
        <v>-5.8</v>
      </c>
      <c r="M252" s="257">
        <v>62</v>
      </c>
      <c r="N252" s="257">
        <v>34.1</v>
      </c>
      <c r="O252" s="257">
        <v>24.6</v>
      </c>
      <c r="P252" s="257">
        <v>29.5</v>
      </c>
      <c r="Q252" s="257">
        <v>58</v>
      </c>
      <c r="R252" s="257">
        <v>29.2</v>
      </c>
      <c r="S252" s="257">
        <v>1.5</v>
      </c>
      <c r="T252" s="257" t="s">
        <v>90</v>
      </c>
      <c r="U252" s="257" t="s">
        <v>1761</v>
      </c>
      <c r="V252" s="257">
        <v>2.9</v>
      </c>
      <c r="W252" s="257">
        <v>1.1</v>
      </c>
      <c r="X252" s="257" t="s">
        <v>90</v>
      </c>
      <c r="Y252" s="257" t="s">
        <v>1762</v>
      </c>
      <c r="Z252" s="257">
        <v>2.8</v>
      </c>
      <c r="AA252" s="257" t="s">
        <v>90</v>
      </c>
      <c r="AB252" s="257" t="s">
        <v>1763</v>
      </c>
      <c r="AC252" s="257">
        <v>40</v>
      </c>
      <c r="AD252" s="257">
        <v>29</v>
      </c>
      <c r="AE252" s="257">
        <v>953.7</v>
      </c>
      <c r="AF252" s="257">
        <v>936.9</v>
      </c>
      <c r="AG252" s="257">
        <v>101</v>
      </c>
      <c r="AH252" s="257" t="s">
        <v>1050</v>
      </c>
      <c r="AI252" s="257">
        <v>1.6</v>
      </c>
      <c r="AJ252" s="257">
        <v>135</v>
      </c>
      <c r="AK252" s="257" t="s">
        <v>1764</v>
      </c>
      <c r="AL252" s="257">
        <v>3</v>
      </c>
      <c r="AM252" s="257">
        <v>41.6</v>
      </c>
      <c r="AN252" s="270">
        <v>-16.1</v>
      </c>
    </row>
    <row r="253" ht="20.2" customHeight="1" spans="1:40">
      <c r="A253" s="375"/>
      <c r="B253" s="439">
        <v>4</v>
      </c>
      <c r="C253" s="357" t="s">
        <v>1765</v>
      </c>
      <c r="D253" s="358" t="s">
        <v>1766</v>
      </c>
      <c r="E253" s="257" t="s">
        <v>1767</v>
      </c>
      <c r="F253" s="257" t="s">
        <v>1768</v>
      </c>
      <c r="G253" s="257">
        <v>509.5</v>
      </c>
      <c r="H253" s="257" t="s">
        <v>47</v>
      </c>
      <c r="I253" s="257">
        <v>14.4</v>
      </c>
      <c r="J253" s="257">
        <v>-0.1</v>
      </c>
      <c r="K253" s="257">
        <v>2.4</v>
      </c>
      <c r="L253" s="257">
        <v>-1.8</v>
      </c>
      <c r="M253" s="257">
        <v>80</v>
      </c>
      <c r="N253" s="257">
        <v>32.3</v>
      </c>
      <c r="O253" s="257">
        <v>26</v>
      </c>
      <c r="P253" s="257">
        <v>28.5</v>
      </c>
      <c r="Q253" s="257">
        <v>69</v>
      </c>
      <c r="R253" s="257">
        <v>28.5</v>
      </c>
      <c r="S253" s="257">
        <v>1.1</v>
      </c>
      <c r="T253" s="257" t="s">
        <v>90</v>
      </c>
      <c r="U253" s="257" t="s">
        <v>1362</v>
      </c>
      <c r="V253" s="257">
        <v>1.9</v>
      </c>
      <c r="W253" s="257">
        <v>0.9</v>
      </c>
      <c r="X253" s="257" t="s">
        <v>497</v>
      </c>
      <c r="Y253" s="257" t="s">
        <v>1769</v>
      </c>
      <c r="Z253" s="257">
        <v>2.4</v>
      </c>
      <c r="AA253" s="257" t="s">
        <v>90</v>
      </c>
      <c r="AB253" s="257" t="s">
        <v>1770</v>
      </c>
      <c r="AC253" s="257">
        <v>27</v>
      </c>
      <c r="AD253" s="257">
        <v>8</v>
      </c>
      <c r="AE253" s="257">
        <v>964.3</v>
      </c>
      <c r="AF253" s="257">
        <v>947.8</v>
      </c>
      <c r="AG253" s="257">
        <v>72</v>
      </c>
      <c r="AH253" s="257" t="s">
        <v>1771</v>
      </c>
      <c r="AI253" s="257">
        <v>3</v>
      </c>
      <c r="AJ253" s="257">
        <v>115</v>
      </c>
      <c r="AK253" s="257" t="s">
        <v>1772</v>
      </c>
      <c r="AL253" s="257">
        <v>4.3</v>
      </c>
      <c r="AM253" s="257">
        <v>38.3</v>
      </c>
      <c r="AN253" s="270">
        <v>-10</v>
      </c>
    </row>
    <row r="254" ht="20.2" customHeight="1" spans="1:40">
      <c r="A254" s="375"/>
      <c r="B254" s="439">
        <v>5</v>
      </c>
      <c r="C254" s="357" t="s">
        <v>1773</v>
      </c>
      <c r="D254" s="358" t="s">
        <v>1774</v>
      </c>
      <c r="E254" s="257" t="s">
        <v>168</v>
      </c>
      <c r="F254" s="257" t="s">
        <v>1775</v>
      </c>
      <c r="G254" s="257">
        <v>1057.5</v>
      </c>
      <c r="H254" s="257" t="s">
        <v>47</v>
      </c>
      <c r="I254" s="257">
        <v>8.3</v>
      </c>
      <c r="J254" s="257">
        <v>-15.1</v>
      </c>
      <c r="K254" s="257">
        <v>-9.4</v>
      </c>
      <c r="L254" s="257">
        <v>-19.3</v>
      </c>
      <c r="M254" s="257">
        <v>55</v>
      </c>
      <c r="N254" s="257">
        <v>32.2</v>
      </c>
      <c r="O254" s="257">
        <v>21.5</v>
      </c>
      <c r="P254" s="257">
        <v>28</v>
      </c>
      <c r="Q254" s="257">
        <v>45</v>
      </c>
      <c r="R254" s="257">
        <v>26.5</v>
      </c>
      <c r="S254" s="257">
        <v>2.3</v>
      </c>
      <c r="T254" s="257" t="s">
        <v>82</v>
      </c>
      <c r="U254" s="257" t="s">
        <v>915</v>
      </c>
      <c r="V254" s="257">
        <v>3.5</v>
      </c>
      <c r="W254" s="257">
        <v>1.7</v>
      </c>
      <c r="X254" s="257" t="s">
        <v>50</v>
      </c>
      <c r="Y254" s="257" t="s">
        <v>1776</v>
      </c>
      <c r="Z254" s="257">
        <v>2.9</v>
      </c>
      <c r="AA254" s="257" t="s">
        <v>82</v>
      </c>
      <c r="AB254" s="257" t="s">
        <v>1747</v>
      </c>
      <c r="AC254" s="257">
        <v>64</v>
      </c>
      <c r="AD254" s="257">
        <v>148</v>
      </c>
      <c r="AE254" s="257">
        <v>902.2</v>
      </c>
      <c r="AF254" s="257">
        <v>889.9</v>
      </c>
      <c r="AG254" s="257">
        <v>153</v>
      </c>
      <c r="AH254" s="257" t="s">
        <v>1777</v>
      </c>
      <c r="AI254" s="257">
        <v>-3.9</v>
      </c>
      <c r="AJ254" s="257">
        <v>171</v>
      </c>
      <c r="AK254" s="257" t="s">
        <v>1778</v>
      </c>
      <c r="AL254" s="257">
        <v>-2.8</v>
      </c>
      <c r="AM254" s="257">
        <v>38.6</v>
      </c>
      <c r="AN254" s="270">
        <v>-30</v>
      </c>
    </row>
    <row r="255" s="298" customFormat="1" ht="20.2" customHeight="1" spans="1:40">
      <c r="A255" s="375"/>
      <c r="B255" s="470">
        <v>6</v>
      </c>
      <c r="C255" s="463" t="s">
        <v>1779</v>
      </c>
      <c r="D255" s="462" t="s">
        <v>1780</v>
      </c>
      <c r="E255" s="390" t="s">
        <v>1781</v>
      </c>
      <c r="F255" s="390" t="s">
        <v>1782</v>
      </c>
      <c r="G255" s="390">
        <v>290.8</v>
      </c>
      <c r="H255" s="390" t="s">
        <v>47</v>
      </c>
      <c r="I255" s="390">
        <v>15.6</v>
      </c>
      <c r="J255" s="390">
        <v>0.9</v>
      </c>
      <c r="K255" s="390">
        <v>3.5</v>
      </c>
      <c r="L255" s="390">
        <v>-0.9</v>
      </c>
      <c r="M255" s="390">
        <v>71</v>
      </c>
      <c r="N255" s="390">
        <v>35</v>
      </c>
      <c r="O255" s="390">
        <v>26.8</v>
      </c>
      <c r="P255" s="390">
        <v>30.5</v>
      </c>
      <c r="Q255" s="390">
        <v>64</v>
      </c>
      <c r="R255" s="390">
        <v>30.7</v>
      </c>
      <c r="S255" s="390">
        <v>1.3</v>
      </c>
      <c r="T255" s="390" t="s">
        <v>497</v>
      </c>
      <c r="U255" s="390" t="s">
        <v>1524</v>
      </c>
      <c r="V255" s="390">
        <v>2.3</v>
      </c>
      <c r="W255" s="390">
        <v>1.2</v>
      </c>
      <c r="X255" s="390" t="s">
        <v>497</v>
      </c>
      <c r="Y255" s="390" t="s">
        <v>1783</v>
      </c>
      <c r="Z255" s="390">
        <v>2.9</v>
      </c>
      <c r="AA255" s="390" t="s">
        <v>497</v>
      </c>
      <c r="AB255" s="390" t="s">
        <v>1784</v>
      </c>
      <c r="AC255" s="390">
        <v>30</v>
      </c>
      <c r="AD255" s="390">
        <v>8</v>
      </c>
      <c r="AE255" s="390">
        <v>990.6</v>
      </c>
      <c r="AF255" s="390">
        <v>971.7</v>
      </c>
      <c r="AG255" s="390">
        <v>60</v>
      </c>
      <c r="AH255" s="390" t="s">
        <v>1785</v>
      </c>
      <c r="AI255" s="390">
        <v>3.8</v>
      </c>
      <c r="AJ255" s="390">
        <v>100</v>
      </c>
      <c r="AK255" s="390" t="s">
        <v>1166</v>
      </c>
      <c r="AL255" s="390">
        <v>4.9</v>
      </c>
      <c r="AM255" s="390">
        <v>41.3</v>
      </c>
      <c r="AN255" s="391">
        <v>-9.7</v>
      </c>
    </row>
    <row r="256" ht="20.2" customHeight="1" spans="1:40">
      <c r="A256" s="375"/>
      <c r="B256" s="439">
        <v>7</v>
      </c>
      <c r="C256" s="357" t="s">
        <v>1786</v>
      </c>
      <c r="D256" s="358" t="s">
        <v>1787</v>
      </c>
      <c r="E256" s="257" t="s">
        <v>1788</v>
      </c>
      <c r="F256" s="257" t="s">
        <v>1789</v>
      </c>
      <c r="G256" s="257">
        <v>978.9</v>
      </c>
      <c r="H256" s="257" t="s">
        <v>47</v>
      </c>
      <c r="I256" s="257">
        <v>10.6</v>
      </c>
      <c r="J256" s="257">
        <v>-7.2</v>
      </c>
      <c r="K256" s="257">
        <v>-3</v>
      </c>
      <c r="L256" s="257">
        <v>-9.8</v>
      </c>
      <c r="M256" s="257">
        <v>55</v>
      </c>
      <c r="N256" s="257">
        <v>31.5</v>
      </c>
      <c r="O256" s="257">
        <v>23</v>
      </c>
      <c r="P256" s="257">
        <v>27.4</v>
      </c>
      <c r="Q256" s="257">
        <v>60</v>
      </c>
      <c r="R256" s="257">
        <v>26.5</v>
      </c>
      <c r="S256" s="257">
        <v>2.2</v>
      </c>
      <c r="T256" s="257" t="s">
        <v>381</v>
      </c>
      <c r="U256" s="257">
        <v>20</v>
      </c>
      <c r="V256" s="257">
        <v>2.2</v>
      </c>
      <c r="W256" s="257">
        <v>2.2</v>
      </c>
      <c r="X256" s="257" t="s">
        <v>381</v>
      </c>
      <c r="Y256" s="257">
        <v>31</v>
      </c>
      <c r="Z256" s="257">
        <v>2.3</v>
      </c>
      <c r="AA256" s="257" t="s">
        <v>381</v>
      </c>
      <c r="AB256" s="257">
        <v>24</v>
      </c>
      <c r="AC256" s="257">
        <v>58</v>
      </c>
      <c r="AD256" s="257">
        <v>53</v>
      </c>
      <c r="AE256" s="257">
        <v>911.1</v>
      </c>
      <c r="AF256" s="257">
        <v>898.4</v>
      </c>
      <c r="AG256" s="257">
        <v>128</v>
      </c>
      <c r="AH256" s="257" t="s">
        <v>1790</v>
      </c>
      <c r="AI256" s="257">
        <v>-0.2</v>
      </c>
      <c r="AJ256" s="257">
        <v>148</v>
      </c>
      <c r="AK256" s="257" t="s">
        <v>1791</v>
      </c>
      <c r="AL256" s="257">
        <v>0.6</v>
      </c>
      <c r="AM256" s="257">
        <v>37.7</v>
      </c>
      <c r="AN256" s="270">
        <v>-21.8</v>
      </c>
    </row>
    <row r="257" ht="20.2" customHeight="1" spans="1:40">
      <c r="A257" s="375"/>
      <c r="B257" s="439">
        <v>8</v>
      </c>
      <c r="C257" s="357" t="s">
        <v>1792</v>
      </c>
      <c r="D257" s="358" t="s">
        <v>1793</v>
      </c>
      <c r="E257" s="257" t="s">
        <v>1794</v>
      </c>
      <c r="F257" s="257" t="s">
        <v>1795</v>
      </c>
      <c r="G257" s="257">
        <v>447.8</v>
      </c>
      <c r="H257" s="257" t="s">
        <v>47</v>
      </c>
      <c r="I257" s="257">
        <v>13.2</v>
      </c>
      <c r="J257" s="257">
        <v>-3.6</v>
      </c>
      <c r="K257" s="257">
        <v>-0.4</v>
      </c>
      <c r="L257" s="257">
        <v>-5.9</v>
      </c>
      <c r="M257" s="257">
        <v>67</v>
      </c>
      <c r="N257" s="257">
        <v>34.3</v>
      </c>
      <c r="O257" s="257" t="s">
        <v>1796</v>
      </c>
      <c r="P257" s="257">
        <v>29.9</v>
      </c>
      <c r="Q257" s="257">
        <v>61</v>
      </c>
      <c r="R257" s="257">
        <v>29.8</v>
      </c>
      <c r="S257" s="257">
        <v>1.7</v>
      </c>
      <c r="T257" s="257" t="s">
        <v>92</v>
      </c>
      <c r="U257" s="257">
        <v>28</v>
      </c>
      <c r="V257" s="257">
        <v>2.9</v>
      </c>
      <c r="W257" s="257">
        <v>1.4</v>
      </c>
      <c r="X257" s="257" t="s">
        <v>132</v>
      </c>
      <c r="Y257" s="257" t="s">
        <v>1797</v>
      </c>
      <c r="Z257" s="257">
        <v>2.3</v>
      </c>
      <c r="AA257" s="257" t="s">
        <v>92</v>
      </c>
      <c r="AB257" s="257" t="s">
        <v>255</v>
      </c>
      <c r="AC257" s="257">
        <v>42</v>
      </c>
      <c r="AD257" s="257">
        <v>24</v>
      </c>
      <c r="AE257" s="257">
        <v>971.7</v>
      </c>
      <c r="AF257" s="257">
        <v>953.1</v>
      </c>
      <c r="AG257" s="257">
        <v>101</v>
      </c>
      <c r="AH257" s="257" t="s">
        <v>1050</v>
      </c>
      <c r="AI257" s="257">
        <v>1.2</v>
      </c>
      <c r="AJ257" s="257">
        <v>133</v>
      </c>
      <c r="AK257" s="257" t="s">
        <v>1798</v>
      </c>
      <c r="AL257" s="257">
        <v>2.7</v>
      </c>
      <c r="AM257" s="257">
        <v>40.4</v>
      </c>
      <c r="AN257" s="270">
        <v>-19.4</v>
      </c>
    </row>
    <row r="258" s="296" customFormat="1" ht="20.2" customHeight="1" spans="1:40">
      <c r="A258" s="356"/>
      <c r="B258" s="420">
        <v>9</v>
      </c>
      <c r="C258" s="420" t="s">
        <v>1799</v>
      </c>
      <c r="D258" s="382" t="s">
        <v>1800</v>
      </c>
      <c r="E258" s="382" t="s">
        <v>771</v>
      </c>
      <c r="F258" s="382" t="s">
        <v>1801</v>
      </c>
      <c r="G258" s="382">
        <v>742.2</v>
      </c>
      <c r="H258" s="382" t="s">
        <v>47</v>
      </c>
      <c r="I258" s="382">
        <v>12.8</v>
      </c>
      <c r="J258" s="382">
        <v>-3.3</v>
      </c>
      <c r="K258" s="382">
        <v>0.5</v>
      </c>
      <c r="L258" s="382">
        <v>-5</v>
      </c>
      <c r="M258" s="382">
        <v>59</v>
      </c>
      <c r="N258" s="382">
        <v>32.9</v>
      </c>
      <c r="O258" s="382">
        <v>24.3</v>
      </c>
      <c r="P258" s="382">
        <v>28.6</v>
      </c>
      <c r="Q258" s="382">
        <v>56</v>
      </c>
      <c r="R258" s="382">
        <v>27.6</v>
      </c>
      <c r="S258" s="382">
        <v>2.2</v>
      </c>
      <c r="T258" s="382" t="s">
        <v>278</v>
      </c>
      <c r="U258" s="382" t="s">
        <v>1802</v>
      </c>
      <c r="V258" s="382">
        <v>3.9</v>
      </c>
      <c r="W258" s="382">
        <v>2.6</v>
      </c>
      <c r="X258" s="382" t="s">
        <v>132</v>
      </c>
      <c r="Y258" s="382" t="s">
        <v>806</v>
      </c>
      <c r="Z258" s="382">
        <v>4.1</v>
      </c>
      <c r="AA258" s="382" t="s">
        <v>278</v>
      </c>
      <c r="AB258" s="382" t="s">
        <v>1175</v>
      </c>
      <c r="AC258" s="382">
        <v>47</v>
      </c>
      <c r="AD258" s="382">
        <v>18</v>
      </c>
      <c r="AE258" s="382">
        <v>937.7</v>
      </c>
      <c r="AF258" s="382">
        <v>923.3</v>
      </c>
      <c r="AG258" s="382">
        <v>100</v>
      </c>
      <c r="AH258" s="382" t="s">
        <v>1803</v>
      </c>
      <c r="AI258" s="382">
        <v>1.9</v>
      </c>
      <c r="AJ258" s="382">
        <v>139</v>
      </c>
      <c r="AK258" s="382" t="s">
        <v>1804</v>
      </c>
      <c r="AL258" s="382">
        <v>3.3</v>
      </c>
      <c r="AM258" s="382">
        <v>39.9</v>
      </c>
      <c r="AN258" s="383">
        <v>-13.9</v>
      </c>
    </row>
    <row r="259" s="299" customFormat="1" ht="20.2" customHeight="1" spans="1:40">
      <c r="A259" s="360" t="s">
        <v>1805</v>
      </c>
      <c r="B259" s="393">
        <v>1</v>
      </c>
      <c r="C259" s="394" t="s">
        <v>1806</v>
      </c>
      <c r="D259" s="393" t="s">
        <v>1807</v>
      </c>
      <c r="E259" s="393" t="s">
        <v>1808</v>
      </c>
      <c r="F259" s="393" t="s">
        <v>1809</v>
      </c>
      <c r="G259" s="393">
        <v>1517.2</v>
      </c>
      <c r="H259" s="393" t="s">
        <v>47</v>
      </c>
      <c r="I259" s="393">
        <v>9.8</v>
      </c>
      <c r="J259" s="393">
        <v>-9</v>
      </c>
      <c r="K259" s="393">
        <v>-5.3</v>
      </c>
      <c r="L259" s="393">
        <v>-11.5</v>
      </c>
      <c r="M259" s="393">
        <v>54</v>
      </c>
      <c r="N259" s="393">
        <v>31.2</v>
      </c>
      <c r="O259" s="393">
        <v>20.1</v>
      </c>
      <c r="P259" s="393">
        <v>26.5</v>
      </c>
      <c r="Q259" s="393">
        <v>45</v>
      </c>
      <c r="R259" s="393">
        <v>26</v>
      </c>
      <c r="S259" s="393">
        <v>1.2</v>
      </c>
      <c r="T259" s="393" t="s">
        <v>90</v>
      </c>
      <c r="U259" s="393" t="s">
        <v>1593</v>
      </c>
      <c r="V259" s="393">
        <v>2.1</v>
      </c>
      <c r="W259" s="393">
        <v>0.5</v>
      </c>
      <c r="X259" s="393" t="s">
        <v>497</v>
      </c>
      <c r="Y259" s="393" t="s">
        <v>1421</v>
      </c>
      <c r="Z259" s="393">
        <v>1.7</v>
      </c>
      <c r="AA259" s="393" t="s">
        <v>90</v>
      </c>
      <c r="AB259" s="393" t="s">
        <v>1628</v>
      </c>
      <c r="AC259" s="393">
        <v>53</v>
      </c>
      <c r="AD259" s="393">
        <v>98</v>
      </c>
      <c r="AE259" s="393" t="s">
        <v>1810</v>
      </c>
      <c r="AF259" s="393">
        <v>843.2</v>
      </c>
      <c r="AG259" s="393">
        <v>130</v>
      </c>
      <c r="AH259" s="393" t="s">
        <v>1811</v>
      </c>
      <c r="AI259" s="393">
        <v>-1.9</v>
      </c>
      <c r="AJ259" s="393">
        <v>160</v>
      </c>
      <c r="AK259" s="393" t="s">
        <v>1812</v>
      </c>
      <c r="AL259" s="393">
        <v>-0.3</v>
      </c>
      <c r="AM259" s="393">
        <v>39.8</v>
      </c>
      <c r="AN259" s="395">
        <v>-19.7</v>
      </c>
    </row>
    <row r="260" ht="20.2" customHeight="1" spans="1:40">
      <c r="A260" s="239"/>
      <c r="B260" s="255">
        <v>2</v>
      </c>
      <c r="C260" s="253" t="s">
        <v>1813</v>
      </c>
      <c r="D260" s="255" t="s">
        <v>1814</v>
      </c>
      <c r="E260" s="257" t="s">
        <v>1815</v>
      </c>
      <c r="F260" s="257" t="s">
        <v>1816</v>
      </c>
      <c r="G260" s="257">
        <v>1477.2</v>
      </c>
      <c r="H260" s="257" t="s">
        <v>47</v>
      </c>
      <c r="I260" s="257">
        <v>7.5</v>
      </c>
      <c r="J260" s="257">
        <v>-14.5</v>
      </c>
      <c r="K260" s="257">
        <v>-9</v>
      </c>
      <c r="L260" s="257">
        <v>-18.5</v>
      </c>
      <c r="M260" s="257">
        <v>53</v>
      </c>
      <c r="N260" s="257">
        <v>30.5</v>
      </c>
      <c r="O260" s="257">
        <v>19.6</v>
      </c>
      <c r="P260" s="257">
        <v>26.3</v>
      </c>
      <c r="Q260" s="257">
        <v>39</v>
      </c>
      <c r="R260" s="257">
        <v>24.8</v>
      </c>
      <c r="S260" s="257">
        <v>2.2</v>
      </c>
      <c r="T260" s="257" t="s">
        <v>90</v>
      </c>
      <c r="U260" s="257" t="s">
        <v>574</v>
      </c>
      <c r="V260" s="257">
        <v>2.8</v>
      </c>
      <c r="W260" s="257">
        <v>2</v>
      </c>
      <c r="X260" s="257" t="s">
        <v>288</v>
      </c>
      <c r="Y260" s="257" t="s">
        <v>1817</v>
      </c>
      <c r="Z260" s="257">
        <v>2.4</v>
      </c>
      <c r="AA260" s="257" t="s">
        <v>285</v>
      </c>
      <c r="AB260" s="257" t="s">
        <v>1017</v>
      </c>
      <c r="AC260" s="257">
        <v>72</v>
      </c>
      <c r="AD260" s="257">
        <v>117</v>
      </c>
      <c r="AE260" s="257">
        <v>856.3</v>
      </c>
      <c r="AF260" s="257">
        <v>847.2</v>
      </c>
      <c r="AG260" s="257">
        <v>157</v>
      </c>
      <c r="AH260" s="257" t="s">
        <v>1818</v>
      </c>
      <c r="AI260" s="257">
        <v>-4</v>
      </c>
      <c r="AJ260" s="257">
        <v>183</v>
      </c>
      <c r="AK260" s="257" t="s">
        <v>1819</v>
      </c>
      <c r="AL260" s="257">
        <v>-2.4</v>
      </c>
      <c r="AM260" s="257">
        <v>36.6</v>
      </c>
      <c r="AN260" s="270">
        <v>-29.8</v>
      </c>
    </row>
    <row r="261" ht="20.2" customHeight="1" spans="1:40">
      <c r="A261" s="239"/>
      <c r="B261" s="255">
        <v>3</v>
      </c>
      <c r="C261" s="253" t="s">
        <v>1820</v>
      </c>
      <c r="D261" s="255" t="s">
        <v>1821</v>
      </c>
      <c r="E261" s="257" t="s">
        <v>1822</v>
      </c>
      <c r="F261" s="257" t="s">
        <v>1823</v>
      </c>
      <c r="G261" s="257">
        <v>1346.6</v>
      </c>
      <c r="H261" s="257" t="s">
        <v>47</v>
      </c>
      <c r="I261" s="257">
        <v>8.8</v>
      </c>
      <c r="J261" s="257">
        <v>-8.8</v>
      </c>
      <c r="K261" s="257">
        <v>-4.6</v>
      </c>
      <c r="L261" s="257">
        <v>-12.3</v>
      </c>
      <c r="M261" s="257">
        <v>55</v>
      </c>
      <c r="N261" s="257">
        <v>29.8</v>
      </c>
      <c r="O261" s="257">
        <v>21.3</v>
      </c>
      <c r="P261" s="257">
        <v>25.6</v>
      </c>
      <c r="Q261" s="257">
        <v>56</v>
      </c>
      <c r="R261" s="257">
        <v>24</v>
      </c>
      <c r="S261" s="257">
        <v>1.9</v>
      </c>
      <c r="T261" s="257" t="s">
        <v>278</v>
      </c>
      <c r="U261" s="257" t="s">
        <v>1732</v>
      </c>
      <c r="V261" s="257">
        <v>2.8</v>
      </c>
      <c r="W261" s="257">
        <v>2.1</v>
      </c>
      <c r="X261" s="257" t="s">
        <v>132</v>
      </c>
      <c r="Y261" s="257" t="s">
        <v>1824</v>
      </c>
      <c r="Z261" s="257">
        <v>2.2</v>
      </c>
      <c r="AA261" s="257" t="s">
        <v>132</v>
      </c>
      <c r="AB261" s="257" t="s">
        <v>1352</v>
      </c>
      <c r="AC261" s="257">
        <v>60</v>
      </c>
      <c r="AD261" s="257">
        <v>48</v>
      </c>
      <c r="AE261" s="257">
        <v>870</v>
      </c>
      <c r="AF261" s="257">
        <v>860.8</v>
      </c>
      <c r="AG261" s="257">
        <v>143</v>
      </c>
      <c r="AH261" s="257" t="s">
        <v>116</v>
      </c>
      <c r="AI261" s="257">
        <v>-1.3</v>
      </c>
      <c r="AJ261" s="257">
        <v>170</v>
      </c>
      <c r="AK261" s="257" t="s">
        <v>1825</v>
      </c>
      <c r="AL261" s="257">
        <v>0</v>
      </c>
      <c r="AM261" s="257">
        <v>36</v>
      </c>
      <c r="AN261" s="270">
        <v>-24.3</v>
      </c>
    </row>
    <row r="262" ht="20.2" customHeight="1" spans="1:40">
      <c r="A262" s="239"/>
      <c r="B262" s="255">
        <v>4</v>
      </c>
      <c r="C262" s="253" t="s">
        <v>1826</v>
      </c>
      <c r="D262" s="255" t="s">
        <v>1827</v>
      </c>
      <c r="E262" s="257" t="s">
        <v>1828</v>
      </c>
      <c r="F262" s="257" t="s">
        <v>1829</v>
      </c>
      <c r="G262" s="257">
        <v>1141.7</v>
      </c>
      <c r="H262" s="257" t="s">
        <v>47</v>
      </c>
      <c r="I262" s="257">
        <v>11</v>
      </c>
      <c r="J262" s="257">
        <v>-5.7</v>
      </c>
      <c r="K262" s="257">
        <v>-2</v>
      </c>
      <c r="L262" s="257">
        <v>-8.4</v>
      </c>
      <c r="M262" s="257">
        <v>62</v>
      </c>
      <c r="N262" s="257">
        <v>30.8</v>
      </c>
      <c r="O262" s="257">
        <v>21.8</v>
      </c>
      <c r="P262" s="257">
        <v>26.9</v>
      </c>
      <c r="Q262" s="257">
        <v>55</v>
      </c>
      <c r="R262" s="257">
        <v>25.9</v>
      </c>
      <c r="S262" s="257">
        <v>1.2</v>
      </c>
      <c r="T262" s="257" t="s">
        <v>90</v>
      </c>
      <c r="U262" s="257" t="s">
        <v>1830</v>
      </c>
      <c r="V262" s="257">
        <v>2</v>
      </c>
      <c r="W262" s="257">
        <v>1</v>
      </c>
      <c r="X262" s="257" t="s">
        <v>90</v>
      </c>
      <c r="Y262" s="257" t="s">
        <v>1831</v>
      </c>
      <c r="Z262" s="257">
        <v>2.2</v>
      </c>
      <c r="AA262" s="257" t="s">
        <v>90</v>
      </c>
      <c r="AB262" s="257" t="s">
        <v>1832</v>
      </c>
      <c r="AC262" s="257">
        <v>46</v>
      </c>
      <c r="AD262" s="257">
        <v>90</v>
      </c>
      <c r="AE262" s="257">
        <v>892.4</v>
      </c>
      <c r="AF262" s="257">
        <v>881.2</v>
      </c>
      <c r="AG262" s="257">
        <v>119</v>
      </c>
      <c r="AH262" s="257" t="s">
        <v>1833</v>
      </c>
      <c r="AI262" s="257">
        <v>0.3</v>
      </c>
      <c r="AJ262" s="257">
        <v>145</v>
      </c>
      <c r="AK262" s="257" t="s">
        <v>432</v>
      </c>
      <c r="AL262" s="257">
        <v>1.4</v>
      </c>
      <c r="AM262" s="257">
        <v>38.2</v>
      </c>
      <c r="AN262" s="270">
        <v>-17.4</v>
      </c>
    </row>
    <row r="263" ht="20.2" customHeight="1" spans="1:40">
      <c r="A263" s="239"/>
      <c r="B263" s="255">
        <v>5</v>
      </c>
      <c r="C263" s="253" t="s">
        <v>1834</v>
      </c>
      <c r="D263" s="255" t="s">
        <v>1835</v>
      </c>
      <c r="E263" s="257" t="s">
        <v>1836</v>
      </c>
      <c r="F263" s="257" t="s">
        <v>1837</v>
      </c>
      <c r="G263" s="257">
        <v>1079.1</v>
      </c>
      <c r="H263" s="257" t="s">
        <v>47</v>
      </c>
      <c r="I263" s="257">
        <v>14.6</v>
      </c>
      <c r="J263" s="257">
        <v>0</v>
      </c>
      <c r="K263" s="257">
        <v>3.3</v>
      </c>
      <c r="L263" s="257">
        <v>-2.3</v>
      </c>
      <c r="M263" s="257">
        <v>51</v>
      </c>
      <c r="N263" s="257">
        <v>32.6</v>
      </c>
      <c r="O263" s="257">
        <v>22.3</v>
      </c>
      <c r="P263" s="257">
        <v>28.3</v>
      </c>
      <c r="Q263" s="257">
        <v>52</v>
      </c>
      <c r="R263" s="257">
        <v>28.5</v>
      </c>
      <c r="S263" s="257">
        <v>1.7</v>
      </c>
      <c r="T263" s="257" t="s">
        <v>211</v>
      </c>
      <c r="U263" s="257" t="s">
        <v>1838</v>
      </c>
      <c r="V263" s="257">
        <v>3.1</v>
      </c>
      <c r="W263" s="257">
        <v>1.2</v>
      </c>
      <c r="X263" s="257" t="s">
        <v>198</v>
      </c>
      <c r="Y263" s="257" t="s">
        <v>1839</v>
      </c>
      <c r="Z263" s="257">
        <v>2.3</v>
      </c>
      <c r="AA263" s="257" t="s">
        <v>211</v>
      </c>
      <c r="AB263" s="257" t="s">
        <v>1840</v>
      </c>
      <c r="AC263" s="257">
        <v>47</v>
      </c>
      <c r="AD263" s="257">
        <v>13</v>
      </c>
      <c r="AE263" s="257">
        <v>898</v>
      </c>
      <c r="AF263" s="257">
        <v>887.3</v>
      </c>
      <c r="AG263" s="257">
        <v>64</v>
      </c>
      <c r="AH263" s="257" t="s">
        <v>1841</v>
      </c>
      <c r="AI263" s="257">
        <v>3.7</v>
      </c>
      <c r="AJ263" s="257">
        <v>102</v>
      </c>
      <c r="AK263" s="257" t="s">
        <v>1842</v>
      </c>
      <c r="AL263" s="257">
        <v>4.8</v>
      </c>
      <c r="AM263" s="257">
        <v>38.6</v>
      </c>
      <c r="AN263" s="270">
        <v>-8.6</v>
      </c>
    </row>
    <row r="264" ht="20.2" customHeight="1" spans="1:40">
      <c r="A264" s="239"/>
      <c r="B264" s="255">
        <v>6</v>
      </c>
      <c r="C264" s="253" t="s">
        <v>1843</v>
      </c>
      <c r="D264" s="255" t="s">
        <v>1844</v>
      </c>
      <c r="E264" s="257" t="s">
        <v>1845</v>
      </c>
      <c r="F264" s="257" t="s">
        <v>1846</v>
      </c>
      <c r="G264" s="257">
        <v>1482.7</v>
      </c>
      <c r="H264" s="257" t="s">
        <v>47</v>
      </c>
      <c r="I264" s="257">
        <v>7.3</v>
      </c>
      <c r="J264" s="257">
        <v>-13.7</v>
      </c>
      <c r="K264" s="257">
        <v>-9.3</v>
      </c>
      <c r="L264" s="257">
        <v>-17.1</v>
      </c>
      <c r="M264" s="257">
        <v>52</v>
      </c>
      <c r="N264" s="257">
        <v>31.7</v>
      </c>
      <c r="O264" s="257">
        <v>19.5</v>
      </c>
      <c r="P264" s="257">
        <v>26.9</v>
      </c>
      <c r="Q264" s="257">
        <v>37</v>
      </c>
      <c r="R264" s="257">
        <v>25.1</v>
      </c>
      <c r="S264" s="257">
        <v>2</v>
      </c>
      <c r="T264" s="257" t="s">
        <v>1847</v>
      </c>
      <c r="U264" s="257" t="s">
        <v>83</v>
      </c>
      <c r="V264" s="257">
        <v>2.1</v>
      </c>
      <c r="W264" s="257">
        <v>1.8</v>
      </c>
      <c r="X264" s="257" t="s">
        <v>82</v>
      </c>
      <c r="Y264" s="257" t="s">
        <v>1353</v>
      </c>
      <c r="Z264" s="257">
        <v>2.1</v>
      </c>
      <c r="AA264" s="257" t="s">
        <v>82</v>
      </c>
      <c r="AB264" s="257" t="s">
        <v>83</v>
      </c>
      <c r="AC264" s="257">
        <v>74</v>
      </c>
      <c r="AD264" s="257">
        <v>113</v>
      </c>
      <c r="AE264" s="257">
        <v>855.5</v>
      </c>
      <c r="AF264" s="257">
        <v>846.5</v>
      </c>
      <c r="AG264" s="257">
        <v>159</v>
      </c>
      <c r="AH264" s="257" t="s">
        <v>1848</v>
      </c>
      <c r="AI264" s="257">
        <v>-4</v>
      </c>
      <c r="AJ264" s="257">
        <v>178</v>
      </c>
      <c r="AK264" s="257" t="s">
        <v>1849</v>
      </c>
      <c r="AL264" s="257">
        <v>-2.9</v>
      </c>
      <c r="AM264" s="257">
        <v>38.6</v>
      </c>
      <c r="AN264" s="270">
        <v>-28.2</v>
      </c>
    </row>
    <row r="265" ht="20.2" customHeight="1" spans="1:40">
      <c r="A265" s="239"/>
      <c r="B265" s="364">
        <v>7</v>
      </c>
      <c r="C265" s="253" t="s">
        <v>1850</v>
      </c>
      <c r="D265" s="255" t="s">
        <v>1851</v>
      </c>
      <c r="E265" s="257" t="s">
        <v>1852</v>
      </c>
      <c r="F265" s="257" t="s">
        <v>1500</v>
      </c>
      <c r="G265" s="257">
        <v>1398.2</v>
      </c>
      <c r="H265" s="257" t="s">
        <v>47</v>
      </c>
      <c r="I265" s="257">
        <v>9</v>
      </c>
      <c r="J265" s="257">
        <v>-10.7</v>
      </c>
      <c r="K265" s="257">
        <v>-6.9</v>
      </c>
      <c r="L265" s="257">
        <v>-13.9</v>
      </c>
      <c r="M265" s="257">
        <v>58</v>
      </c>
      <c r="N265" s="257">
        <v>30.9</v>
      </c>
      <c r="O265" s="257">
        <v>21</v>
      </c>
      <c r="P265" s="257">
        <v>26.7</v>
      </c>
      <c r="Q265" s="257">
        <v>48</v>
      </c>
      <c r="R265" s="257">
        <v>25.9</v>
      </c>
      <c r="S265" s="257">
        <v>1.3</v>
      </c>
      <c r="T265" s="257" t="s">
        <v>60</v>
      </c>
      <c r="U265" s="257" t="s">
        <v>1252</v>
      </c>
      <c r="V265" s="257">
        <v>3.3</v>
      </c>
      <c r="W265" s="257">
        <v>0.7</v>
      </c>
      <c r="X265" s="257" t="s">
        <v>198</v>
      </c>
      <c r="Y265" s="257" t="s">
        <v>1853</v>
      </c>
      <c r="Z265" s="257">
        <v>2.1</v>
      </c>
      <c r="AA265" s="257" t="s">
        <v>82</v>
      </c>
      <c r="AB265" s="257" t="s">
        <v>1854</v>
      </c>
      <c r="AC265" s="257">
        <v>66</v>
      </c>
      <c r="AD265" s="257">
        <v>86</v>
      </c>
      <c r="AE265" s="257">
        <v>864.5</v>
      </c>
      <c r="AF265" s="257">
        <v>855</v>
      </c>
      <c r="AG265" s="257">
        <v>138</v>
      </c>
      <c r="AH265" s="257" t="s">
        <v>1855</v>
      </c>
      <c r="AI265" s="257">
        <v>-2.7</v>
      </c>
      <c r="AJ265" s="257">
        <v>167</v>
      </c>
      <c r="AK265" s="257" t="s">
        <v>1856</v>
      </c>
      <c r="AL265" s="257">
        <v>-1.1</v>
      </c>
      <c r="AM265" s="257">
        <v>39.5</v>
      </c>
      <c r="AN265" s="270">
        <v>-24.3</v>
      </c>
    </row>
    <row r="266" ht="20.2" customHeight="1" spans="1:40">
      <c r="A266" s="239"/>
      <c r="B266" s="364">
        <v>8</v>
      </c>
      <c r="C266" s="253" t="s">
        <v>1857</v>
      </c>
      <c r="D266" s="255" t="s">
        <v>1858</v>
      </c>
      <c r="E266" s="257" t="s">
        <v>168</v>
      </c>
      <c r="F266" s="257" t="s">
        <v>1447</v>
      </c>
      <c r="G266" s="257">
        <v>19976.1</v>
      </c>
      <c r="H266" s="257" t="s">
        <v>47</v>
      </c>
      <c r="I266" s="257">
        <v>5</v>
      </c>
      <c r="J266" s="257">
        <v>-14.8</v>
      </c>
      <c r="K266" s="257">
        <v>-9.6</v>
      </c>
      <c r="L266" s="257">
        <v>-18.2</v>
      </c>
      <c r="M266" s="257">
        <v>45</v>
      </c>
      <c r="N266" s="257">
        <v>27.3</v>
      </c>
      <c r="O266" s="257">
        <v>17.2</v>
      </c>
      <c r="P266" s="257">
        <v>23</v>
      </c>
      <c r="Q266" s="257">
        <v>45</v>
      </c>
      <c r="R266" s="257">
        <v>20.6</v>
      </c>
      <c r="S266" s="257">
        <v>3.1</v>
      </c>
      <c r="T266" s="257" t="s">
        <v>482</v>
      </c>
      <c r="U266" s="257">
        <v>21</v>
      </c>
      <c r="V266" s="257">
        <v>3.6</v>
      </c>
      <c r="W266" s="257">
        <v>2.6</v>
      </c>
      <c r="X266" s="257" t="s">
        <v>92</v>
      </c>
      <c r="Y266" s="257" t="s">
        <v>1859</v>
      </c>
      <c r="Z266" s="257">
        <v>3.5</v>
      </c>
      <c r="AA266" s="257" t="s">
        <v>92</v>
      </c>
      <c r="AB266" s="257" t="s">
        <v>718</v>
      </c>
      <c r="AC266" s="257">
        <v>78</v>
      </c>
      <c r="AD266" s="257">
        <v>159</v>
      </c>
      <c r="AE266" s="257">
        <v>802.8</v>
      </c>
      <c r="AF266" s="257">
        <v>798.9</v>
      </c>
      <c r="AG266" s="257">
        <v>175</v>
      </c>
      <c r="AH266" s="257" t="s">
        <v>1860</v>
      </c>
      <c r="AI266" s="257">
        <v>-4.3</v>
      </c>
      <c r="AJ266" s="257">
        <v>199</v>
      </c>
      <c r="AK266" s="257" t="s">
        <v>1861</v>
      </c>
      <c r="AL266" s="257">
        <v>-3</v>
      </c>
      <c r="AM266" s="257">
        <v>35.1</v>
      </c>
      <c r="AN266" s="270">
        <v>-28.3</v>
      </c>
    </row>
    <row r="267" ht="20.2" customHeight="1" spans="1:40">
      <c r="A267" s="239"/>
      <c r="B267" s="364">
        <v>9</v>
      </c>
      <c r="C267" s="253" t="s">
        <v>1862</v>
      </c>
      <c r="D267" s="255" t="s">
        <v>1863</v>
      </c>
      <c r="E267" s="257" t="s">
        <v>1864</v>
      </c>
      <c r="F267" s="257" t="s">
        <v>1865</v>
      </c>
      <c r="G267" s="257">
        <v>1421</v>
      </c>
      <c r="H267" s="257" t="s">
        <v>47</v>
      </c>
      <c r="I267" s="257">
        <v>8.7</v>
      </c>
      <c r="J267" s="257">
        <v>-9.6</v>
      </c>
      <c r="K267" s="257">
        <v>-4.8</v>
      </c>
      <c r="L267" s="257">
        <v>-12.9</v>
      </c>
      <c r="M267" s="257">
        <v>53</v>
      </c>
      <c r="N267" s="257">
        <v>28.7</v>
      </c>
      <c r="O267" s="257">
        <v>20.6</v>
      </c>
      <c r="P267" s="257">
        <v>24.6</v>
      </c>
      <c r="Q267" s="257">
        <v>57</v>
      </c>
      <c r="R267" s="257">
        <v>24.3</v>
      </c>
      <c r="S267" s="257">
        <v>2.4</v>
      </c>
      <c r="T267" s="257" t="s">
        <v>296</v>
      </c>
      <c r="U267" s="257">
        <v>16</v>
      </c>
      <c r="V267" s="257">
        <v>2.9</v>
      </c>
      <c r="W267" s="257">
        <v>2.2</v>
      </c>
      <c r="X267" s="257" t="s">
        <v>202</v>
      </c>
      <c r="Y267" s="257" t="s">
        <v>308</v>
      </c>
      <c r="Z267" s="257">
        <v>2.8</v>
      </c>
      <c r="AA267" s="257" t="s">
        <v>296</v>
      </c>
      <c r="AB267" s="257">
        <v>13</v>
      </c>
      <c r="AC267" s="257">
        <v>61</v>
      </c>
      <c r="AD267" s="257">
        <v>79</v>
      </c>
      <c r="AE267" s="257">
        <v>861.8</v>
      </c>
      <c r="AF267" s="257">
        <v>853.5</v>
      </c>
      <c r="AG267" s="257">
        <v>144</v>
      </c>
      <c r="AH267" s="257" t="s">
        <v>240</v>
      </c>
      <c r="AI267" s="257">
        <v>-1.5</v>
      </c>
      <c r="AJ267" s="257">
        <v>171</v>
      </c>
      <c r="AK267" s="257" t="s">
        <v>1866</v>
      </c>
      <c r="AL267" s="257">
        <v>-0.2</v>
      </c>
      <c r="AM267" s="257">
        <v>36.4</v>
      </c>
      <c r="AN267" s="270">
        <v>-22.6</v>
      </c>
    </row>
    <row r="268" ht="20.2" customHeight="1" spans="1:40">
      <c r="A268" s="239"/>
      <c r="B268" s="364">
        <v>10</v>
      </c>
      <c r="C268" s="253" t="s">
        <v>1867</v>
      </c>
      <c r="D268" s="255" t="s">
        <v>1868</v>
      </c>
      <c r="E268" s="257" t="s">
        <v>1869</v>
      </c>
      <c r="F268" s="257" t="s">
        <v>1870</v>
      </c>
      <c r="G268" s="257">
        <v>1886.6</v>
      </c>
      <c r="H268" s="257" t="s">
        <v>47</v>
      </c>
      <c r="I268" s="257">
        <v>7.2</v>
      </c>
      <c r="J268" s="257">
        <v>-11.3</v>
      </c>
      <c r="K268" s="257">
        <v>-7</v>
      </c>
      <c r="L268" s="257">
        <v>-15.2</v>
      </c>
      <c r="M268" s="257">
        <v>62</v>
      </c>
      <c r="N268" s="257">
        <v>27.7</v>
      </c>
      <c r="O268" s="257">
        <v>19.2</v>
      </c>
      <c r="P268" s="257">
        <v>23.3</v>
      </c>
      <c r="Q268" s="257">
        <v>55</v>
      </c>
      <c r="R268" s="257">
        <v>22.1</v>
      </c>
      <c r="S268" s="257">
        <v>1.2</v>
      </c>
      <c r="T268" s="257" t="s">
        <v>130</v>
      </c>
      <c r="U268" s="257" t="s">
        <v>1871</v>
      </c>
      <c r="V268" s="257">
        <v>1.7</v>
      </c>
      <c r="W268" s="257">
        <v>1</v>
      </c>
      <c r="X268" s="257" t="s">
        <v>162</v>
      </c>
      <c r="Y268" s="257" t="s">
        <v>1872</v>
      </c>
      <c r="Z268" s="257">
        <v>1.9</v>
      </c>
      <c r="AA268" s="257" t="s">
        <v>90</v>
      </c>
      <c r="AB268" s="257" t="s">
        <v>1873</v>
      </c>
      <c r="AC268" s="257">
        <v>64</v>
      </c>
      <c r="AD268" s="257">
        <v>114</v>
      </c>
      <c r="AE268" s="257">
        <v>812.6</v>
      </c>
      <c r="AF268" s="257">
        <v>808.1</v>
      </c>
      <c r="AG268" s="257">
        <v>155</v>
      </c>
      <c r="AH268" s="257" t="s">
        <v>1874</v>
      </c>
      <c r="AI268" s="257">
        <v>-2.2</v>
      </c>
      <c r="AJ268" s="257">
        <v>183</v>
      </c>
      <c r="AK268" s="257" t="s">
        <v>193</v>
      </c>
      <c r="AL268" s="257">
        <v>-0.8</v>
      </c>
      <c r="AM268" s="257">
        <v>36.1</v>
      </c>
      <c r="AN268" s="270">
        <v>-27.9</v>
      </c>
    </row>
    <row r="269" ht="20.2" customHeight="1" spans="1:40">
      <c r="A269" s="239"/>
      <c r="B269" s="364">
        <v>11</v>
      </c>
      <c r="C269" s="253" t="s">
        <v>1875</v>
      </c>
      <c r="D269" s="255" t="s">
        <v>1876</v>
      </c>
      <c r="E269" s="257" t="s">
        <v>1877</v>
      </c>
      <c r="F269" s="257" t="s">
        <v>1878</v>
      </c>
      <c r="G269" s="257">
        <v>1530.9</v>
      </c>
      <c r="H269" s="257" t="s">
        <v>47</v>
      </c>
      <c r="I269" s="257">
        <v>7.9</v>
      </c>
      <c r="J269" s="257">
        <v>-12.7</v>
      </c>
      <c r="K269" s="257">
        <v>-7.8</v>
      </c>
      <c r="L269" s="257">
        <v>-16.3</v>
      </c>
      <c r="M269" s="257">
        <v>49</v>
      </c>
      <c r="N269" s="257">
        <v>30.9</v>
      </c>
      <c r="O269" s="257">
        <v>19.6</v>
      </c>
      <c r="P269" s="257">
        <v>26.4</v>
      </c>
      <c r="Q269" s="257">
        <v>41</v>
      </c>
      <c r="R269" s="257">
        <v>24.8</v>
      </c>
      <c r="S269" s="257">
        <v>1.8</v>
      </c>
      <c r="T269" s="257" t="s">
        <v>202</v>
      </c>
      <c r="U269" s="257" t="s">
        <v>1879</v>
      </c>
      <c r="V269" s="257">
        <v>3.3</v>
      </c>
      <c r="W269" s="257">
        <v>1.6</v>
      </c>
      <c r="X269" s="257" t="s">
        <v>48</v>
      </c>
      <c r="Y269" s="257" t="s">
        <v>1747</v>
      </c>
      <c r="Z269" s="257">
        <v>2.4</v>
      </c>
      <c r="AA269" s="257" t="s">
        <v>48</v>
      </c>
      <c r="AB269" s="257" t="s">
        <v>1490</v>
      </c>
      <c r="AC269" s="257">
        <v>75</v>
      </c>
      <c r="AD269" s="257">
        <v>141</v>
      </c>
      <c r="AE269" s="257">
        <v>850.3</v>
      </c>
      <c r="AF269" s="257">
        <v>841.8</v>
      </c>
      <c r="AG269" s="257">
        <v>155</v>
      </c>
      <c r="AH269" s="257" t="s">
        <v>1880</v>
      </c>
      <c r="AI269" s="257">
        <v>-3.1</v>
      </c>
      <c r="AJ269" s="257">
        <v>174</v>
      </c>
      <c r="AK269" s="257" t="s">
        <v>1881</v>
      </c>
      <c r="AL269" s="257">
        <v>-2</v>
      </c>
      <c r="AM269" s="257">
        <v>35.1</v>
      </c>
      <c r="AN269" s="270">
        <v>-28.3</v>
      </c>
    </row>
    <row r="270" ht="20.2" customHeight="1" spans="1:40">
      <c r="A270" s="239"/>
      <c r="B270" s="364">
        <v>12</v>
      </c>
      <c r="C270" s="253" t="s">
        <v>1882</v>
      </c>
      <c r="D270" s="255" t="s">
        <v>1883</v>
      </c>
      <c r="E270" s="257" t="s">
        <v>1884</v>
      </c>
      <c r="F270" s="257" t="s">
        <v>1885</v>
      </c>
      <c r="G270" s="257">
        <v>1917</v>
      </c>
      <c r="H270" s="257" t="s">
        <v>47</v>
      </c>
      <c r="I270" s="257">
        <v>7</v>
      </c>
      <c r="J270" s="257">
        <v>-10.6</v>
      </c>
      <c r="K270" s="257">
        <v>-6.7</v>
      </c>
      <c r="L270" s="257">
        <v>-13.4</v>
      </c>
      <c r="M270" s="257">
        <v>59</v>
      </c>
      <c r="N270" s="257">
        <v>26.9</v>
      </c>
      <c r="O270" s="257">
        <v>19.4</v>
      </c>
      <c r="P270" s="257">
        <v>22.8</v>
      </c>
      <c r="Q270" s="257">
        <v>57</v>
      </c>
      <c r="R270" s="257">
        <v>21.2</v>
      </c>
      <c r="S270" s="257">
        <v>1</v>
      </c>
      <c r="T270" s="257" t="s">
        <v>285</v>
      </c>
      <c r="U270" s="257" t="s">
        <v>1886</v>
      </c>
      <c r="V270" s="257">
        <v>2</v>
      </c>
      <c r="W270" s="257">
        <v>1.2</v>
      </c>
      <c r="X270" s="257" t="s">
        <v>50</v>
      </c>
      <c r="Y270" s="257" t="s">
        <v>1887</v>
      </c>
      <c r="Z270" s="257">
        <v>1.9</v>
      </c>
      <c r="AA270" s="257" t="s">
        <v>80</v>
      </c>
      <c r="AB270" s="257" t="s">
        <v>1888</v>
      </c>
      <c r="AC270" s="257">
        <v>63</v>
      </c>
      <c r="AD270" s="257">
        <v>85</v>
      </c>
      <c r="AE270" s="257">
        <v>809.4</v>
      </c>
      <c r="AF270" s="257">
        <v>805.1</v>
      </c>
      <c r="AG270" s="257">
        <v>156</v>
      </c>
      <c r="AH270" s="257" t="s">
        <v>1889</v>
      </c>
      <c r="AI270" s="257">
        <v>-2.2</v>
      </c>
      <c r="AJ270" s="257">
        <v>185</v>
      </c>
      <c r="AK270" s="257" t="s">
        <v>1890</v>
      </c>
      <c r="AL270" s="257">
        <v>-0.8</v>
      </c>
      <c r="AM270" s="257">
        <v>36.4</v>
      </c>
      <c r="AN270" s="270">
        <v>-24.7</v>
      </c>
    </row>
    <row r="271" s="306" customFormat="1" ht="20.2" customHeight="1" spans="1:40">
      <c r="A271" s="363"/>
      <c r="B271" s="364">
        <v>13</v>
      </c>
      <c r="C271" s="253" t="s">
        <v>1891</v>
      </c>
      <c r="D271" s="255" t="s">
        <v>1892</v>
      </c>
      <c r="E271" s="255" t="s">
        <v>1893</v>
      </c>
      <c r="F271" s="255" t="s">
        <v>1894</v>
      </c>
      <c r="G271" s="255">
        <v>2910</v>
      </c>
      <c r="H271" s="255" t="s">
        <v>47</v>
      </c>
      <c r="I271" s="255">
        <v>2.4</v>
      </c>
      <c r="J271" s="255">
        <v>-13.8</v>
      </c>
      <c r="K271" s="255">
        <v>-9.9</v>
      </c>
      <c r="L271" s="255">
        <v>-16.6</v>
      </c>
      <c r="M271" s="255">
        <v>49</v>
      </c>
      <c r="N271" s="255">
        <v>22.3</v>
      </c>
      <c r="O271" s="255">
        <v>14.5</v>
      </c>
      <c r="P271" s="255">
        <v>17.9</v>
      </c>
      <c r="Q271" s="255">
        <v>54</v>
      </c>
      <c r="R271" s="255">
        <v>15.9</v>
      </c>
      <c r="S271" s="255">
        <v>1.5</v>
      </c>
      <c r="T271" s="255" t="s">
        <v>1895</v>
      </c>
      <c r="U271" s="255" t="s">
        <v>1323</v>
      </c>
      <c r="V271" s="255">
        <v>3.3</v>
      </c>
      <c r="W271" s="255">
        <v>1</v>
      </c>
      <c r="X271" s="255" t="s">
        <v>50</v>
      </c>
      <c r="Y271" s="255" t="s">
        <v>1896</v>
      </c>
      <c r="Z271" s="255">
        <v>3</v>
      </c>
      <c r="AA271" s="255" t="s">
        <v>50</v>
      </c>
      <c r="AB271" s="255" t="s">
        <v>1720</v>
      </c>
      <c r="AC271" s="255">
        <v>66</v>
      </c>
      <c r="AD271" s="255">
        <v>142</v>
      </c>
      <c r="AE271" s="255">
        <v>713.2</v>
      </c>
      <c r="AF271" s="255">
        <v>716</v>
      </c>
      <c r="AG271" s="255">
        <v>202</v>
      </c>
      <c r="AH271" s="255" t="s">
        <v>1897</v>
      </c>
      <c r="AI271" s="255">
        <v>-3.9</v>
      </c>
      <c r="AJ271" s="255">
        <v>250</v>
      </c>
      <c r="AK271" s="255" t="s">
        <v>1898</v>
      </c>
      <c r="AL271" s="255">
        <v>-1.8</v>
      </c>
      <c r="AM271" s="255">
        <v>30.4</v>
      </c>
      <c r="AN271" s="437">
        <v>-27.9</v>
      </c>
    </row>
    <row r="272" s="302" customFormat="1" ht="20.2" customHeight="1" spans="1:40">
      <c r="A272" s="368" t="s">
        <v>1899</v>
      </c>
      <c r="B272" s="351">
        <v>1</v>
      </c>
      <c r="C272" s="407" t="s">
        <v>1900</v>
      </c>
      <c r="D272" s="351" t="s">
        <v>1901</v>
      </c>
      <c r="E272" s="351" t="s">
        <v>1902</v>
      </c>
      <c r="F272" s="351" t="s">
        <v>1903</v>
      </c>
      <c r="G272" s="351">
        <v>2295.2</v>
      </c>
      <c r="H272" s="351" t="s">
        <v>47</v>
      </c>
      <c r="I272" s="351">
        <v>6.1</v>
      </c>
      <c r="J272" s="351">
        <v>-11.4</v>
      </c>
      <c r="K272" s="351">
        <v>-7.4</v>
      </c>
      <c r="L272" s="351">
        <v>-13.6</v>
      </c>
      <c r="M272" s="351">
        <v>45</v>
      </c>
      <c r="N272" s="351">
        <v>26.5</v>
      </c>
      <c r="O272" s="351">
        <v>16.6</v>
      </c>
      <c r="P272" s="351">
        <v>21.9</v>
      </c>
      <c r="Q272" s="351">
        <v>48</v>
      </c>
      <c r="R272" s="351">
        <v>20.8</v>
      </c>
      <c r="S272" s="351">
        <v>1.5</v>
      </c>
      <c r="T272" s="351" t="s">
        <v>845</v>
      </c>
      <c r="U272" s="351" t="s">
        <v>1314</v>
      </c>
      <c r="V272" s="351">
        <v>2.9</v>
      </c>
      <c r="W272" s="351">
        <v>1.3</v>
      </c>
      <c r="X272" s="351" t="s">
        <v>845</v>
      </c>
      <c r="Y272" s="351" t="s">
        <v>1904</v>
      </c>
      <c r="Z272" s="351">
        <v>3.2</v>
      </c>
      <c r="AA272" s="351" t="s">
        <v>845</v>
      </c>
      <c r="AB272" s="351" t="s">
        <v>1905</v>
      </c>
      <c r="AC272" s="351">
        <v>68</v>
      </c>
      <c r="AD272" s="351">
        <v>123</v>
      </c>
      <c r="AE272" s="351">
        <v>774.4</v>
      </c>
      <c r="AF272" s="351">
        <v>772.9</v>
      </c>
      <c r="AG272" s="351">
        <v>165</v>
      </c>
      <c r="AH272" s="351" t="s">
        <v>1906</v>
      </c>
      <c r="AI272" s="351">
        <v>-2.6</v>
      </c>
      <c r="AJ272" s="351">
        <v>190</v>
      </c>
      <c r="AK272" s="351" t="s">
        <v>535</v>
      </c>
      <c r="AL272" s="351">
        <v>-1.4</v>
      </c>
      <c r="AM272" s="351">
        <v>36.5</v>
      </c>
      <c r="AN272" s="408">
        <v>-24.9</v>
      </c>
    </row>
    <row r="273" s="298" customFormat="1" ht="20.2" customHeight="1" spans="1:40">
      <c r="A273" s="372"/>
      <c r="B273" s="356">
        <v>2</v>
      </c>
      <c r="C273" s="357" t="s">
        <v>1907</v>
      </c>
      <c r="D273" s="462" t="s">
        <v>1908</v>
      </c>
      <c r="E273" s="390" t="s">
        <v>1909</v>
      </c>
      <c r="F273" s="390" t="s">
        <v>1910</v>
      </c>
      <c r="G273" s="390">
        <v>3681.2</v>
      </c>
      <c r="H273" s="390" t="s">
        <v>47</v>
      </c>
      <c r="I273" s="390">
        <v>3.2</v>
      </c>
      <c r="J273" s="390">
        <v>-11.9</v>
      </c>
      <c r="K273" s="390">
        <v>-7.6</v>
      </c>
      <c r="L273" s="390">
        <v>-15.8</v>
      </c>
      <c r="M273" s="390">
        <v>44</v>
      </c>
      <c r="N273" s="390">
        <v>21.8</v>
      </c>
      <c r="O273" s="390">
        <v>13.1</v>
      </c>
      <c r="P273" s="390">
        <v>17.3</v>
      </c>
      <c r="Q273" s="390">
        <v>50</v>
      </c>
      <c r="R273" s="390">
        <v>15.5</v>
      </c>
      <c r="S273" s="390">
        <v>0.8</v>
      </c>
      <c r="T273" s="390" t="s">
        <v>731</v>
      </c>
      <c r="U273" s="390" t="s">
        <v>1911</v>
      </c>
      <c r="V273" s="390">
        <v>2.3</v>
      </c>
      <c r="W273" s="390">
        <v>1.1</v>
      </c>
      <c r="X273" s="390" t="s">
        <v>144</v>
      </c>
      <c r="Y273" s="390" t="s">
        <v>1567</v>
      </c>
      <c r="Z273" s="390">
        <v>3.5</v>
      </c>
      <c r="AA273" s="390" t="s">
        <v>144</v>
      </c>
      <c r="AB273" s="390" t="s">
        <v>1912</v>
      </c>
      <c r="AC273" s="390">
        <v>60</v>
      </c>
      <c r="AD273" s="390">
        <v>104</v>
      </c>
      <c r="AE273" s="390">
        <v>647.5</v>
      </c>
      <c r="AF273" s="390">
        <v>651.5</v>
      </c>
      <c r="AG273" s="390">
        <v>199</v>
      </c>
      <c r="AH273" s="390" t="s">
        <v>1913</v>
      </c>
      <c r="AI273" s="390">
        <v>-2.7</v>
      </c>
      <c r="AJ273" s="390">
        <v>248</v>
      </c>
      <c r="AK273" s="390" t="s">
        <v>1914</v>
      </c>
      <c r="AL273" s="390">
        <v>-0.8</v>
      </c>
      <c r="AM273" s="390">
        <v>28.5</v>
      </c>
      <c r="AN273" s="391">
        <v>-27.6</v>
      </c>
    </row>
    <row r="274" s="298" customFormat="1" ht="20.2" customHeight="1" spans="1:40">
      <c r="A274" s="372"/>
      <c r="B274" s="361">
        <v>3</v>
      </c>
      <c r="C274" s="357" t="s">
        <v>1915</v>
      </c>
      <c r="D274" s="358" t="s">
        <v>1916</v>
      </c>
      <c r="E274" s="390" t="s">
        <v>1917</v>
      </c>
      <c r="F274" s="390" t="s">
        <v>1918</v>
      </c>
      <c r="G274" s="390">
        <v>2807.3</v>
      </c>
      <c r="H274" s="390" t="s">
        <v>47</v>
      </c>
      <c r="I274" s="390">
        <v>5.3</v>
      </c>
      <c r="J274" s="390">
        <v>-12.9</v>
      </c>
      <c r="K274" s="390">
        <v>-9.1</v>
      </c>
      <c r="L274" s="390">
        <v>-15.7</v>
      </c>
      <c r="M274" s="390">
        <v>39</v>
      </c>
      <c r="N274" s="390">
        <v>26.9</v>
      </c>
      <c r="O274" s="390">
        <v>13.3</v>
      </c>
      <c r="P274" s="390">
        <v>21.6</v>
      </c>
      <c r="Q274" s="390">
        <v>30</v>
      </c>
      <c r="R274" s="390">
        <v>21.4</v>
      </c>
      <c r="S274" s="390">
        <v>3.3</v>
      </c>
      <c r="T274" s="390" t="s">
        <v>482</v>
      </c>
      <c r="U274" s="390">
        <v>20</v>
      </c>
      <c r="V274" s="390">
        <v>4.3</v>
      </c>
      <c r="W274" s="390">
        <v>2.2</v>
      </c>
      <c r="X274" s="390" t="s">
        <v>356</v>
      </c>
      <c r="Y274" s="390" t="s">
        <v>113</v>
      </c>
      <c r="Z274" s="390">
        <v>2.3</v>
      </c>
      <c r="AA274" s="390" t="s">
        <v>482</v>
      </c>
      <c r="AB274" s="390">
        <v>15</v>
      </c>
      <c r="AC274" s="390">
        <v>72</v>
      </c>
      <c r="AD274" s="390">
        <v>84</v>
      </c>
      <c r="AE274" s="390">
        <v>723.5</v>
      </c>
      <c r="AF274" s="390">
        <v>724</v>
      </c>
      <c r="AG274" s="390">
        <v>176</v>
      </c>
      <c r="AH274" s="390" t="s">
        <v>1919</v>
      </c>
      <c r="AI274" s="390">
        <v>-3.8</v>
      </c>
      <c r="AJ274" s="390">
        <v>203</v>
      </c>
      <c r="AK274" s="390" t="s">
        <v>1920</v>
      </c>
      <c r="AL274" s="390">
        <v>-2.4</v>
      </c>
      <c r="AM274" s="390">
        <v>35.5</v>
      </c>
      <c r="AN274" s="391">
        <v>-26.9</v>
      </c>
    </row>
    <row r="275" ht="20.2" customHeight="1" spans="1:40">
      <c r="A275" s="372"/>
      <c r="B275" s="361">
        <v>4</v>
      </c>
      <c r="C275" s="357" t="s">
        <v>1921</v>
      </c>
      <c r="D275" s="358" t="s">
        <v>1922</v>
      </c>
      <c r="E275" s="257" t="s">
        <v>1923</v>
      </c>
      <c r="F275" s="257" t="s">
        <v>1924</v>
      </c>
      <c r="G275" s="257">
        <v>8500</v>
      </c>
      <c r="H275" s="257" t="s">
        <v>861</v>
      </c>
      <c r="I275" s="257">
        <v>0</v>
      </c>
      <c r="J275" s="257">
        <v>-18</v>
      </c>
      <c r="K275" s="257">
        <v>-12.3</v>
      </c>
      <c r="L275" s="257">
        <v>-22</v>
      </c>
      <c r="M275" s="257">
        <v>55</v>
      </c>
      <c r="N275" s="257">
        <v>19</v>
      </c>
      <c r="O275" s="257">
        <v>12.4</v>
      </c>
      <c r="P275" s="257">
        <v>14.9</v>
      </c>
      <c r="Q275" s="257">
        <v>58</v>
      </c>
      <c r="R275" s="257">
        <v>13.2</v>
      </c>
      <c r="S275" s="257">
        <v>2.4</v>
      </c>
      <c r="T275" s="257" t="s">
        <v>673</v>
      </c>
      <c r="U275" s="257" t="s">
        <v>1428</v>
      </c>
      <c r="V275" s="257">
        <v>3.4</v>
      </c>
      <c r="W275" s="257">
        <v>1.9</v>
      </c>
      <c r="X275" s="257" t="s">
        <v>134</v>
      </c>
      <c r="Y275" s="257" t="s">
        <v>1839</v>
      </c>
      <c r="Z275" s="257">
        <v>4.4</v>
      </c>
      <c r="AA275" s="257" t="s">
        <v>636</v>
      </c>
      <c r="AB275" s="257" t="s">
        <v>1879</v>
      </c>
      <c r="AC275" s="257">
        <v>69</v>
      </c>
      <c r="AD275" s="257">
        <v>177</v>
      </c>
      <c r="AE275" s="257">
        <v>663.1</v>
      </c>
      <c r="AF275" s="257">
        <v>668.4</v>
      </c>
      <c r="AG275" s="257">
        <v>243</v>
      </c>
      <c r="AH275" s="257" t="s">
        <v>1925</v>
      </c>
      <c r="AI275" s="257">
        <v>-4.5</v>
      </c>
      <c r="AJ275" s="257">
        <v>285</v>
      </c>
      <c r="AK275" s="257" t="s">
        <v>1926</v>
      </c>
      <c r="AL275" s="257">
        <v>-2.8</v>
      </c>
      <c r="AM275" s="257">
        <v>26.2</v>
      </c>
      <c r="AN275" s="270">
        <v>-37.2</v>
      </c>
    </row>
    <row r="276" ht="20.2" customHeight="1" spans="1:40">
      <c r="A276" s="372"/>
      <c r="B276" s="361">
        <v>5</v>
      </c>
      <c r="C276" s="357" t="s">
        <v>1927</v>
      </c>
      <c r="D276" s="358" t="s">
        <v>1928</v>
      </c>
      <c r="E276" s="257" t="s">
        <v>1929</v>
      </c>
      <c r="F276" s="257" t="s">
        <v>1930</v>
      </c>
      <c r="G276" s="257">
        <v>2835</v>
      </c>
      <c r="H276" s="257" t="s">
        <v>47</v>
      </c>
      <c r="I276" s="257">
        <v>4</v>
      </c>
      <c r="J276" s="257">
        <v>-14</v>
      </c>
      <c r="K276" s="257">
        <v>-9.8</v>
      </c>
      <c r="L276" s="257">
        <v>-16.6</v>
      </c>
      <c r="M276" s="257">
        <v>43</v>
      </c>
      <c r="N276" s="257">
        <v>24.6</v>
      </c>
      <c r="O276" s="257">
        <v>14.8</v>
      </c>
      <c r="P276" s="257">
        <v>19.8</v>
      </c>
      <c r="Q276" s="257">
        <v>48</v>
      </c>
      <c r="R276" s="257">
        <v>19.3</v>
      </c>
      <c r="S276" s="257">
        <v>2</v>
      </c>
      <c r="T276" s="257" t="s">
        <v>845</v>
      </c>
      <c r="U276" s="257" t="s">
        <v>1931</v>
      </c>
      <c r="V276" s="257">
        <v>2.9</v>
      </c>
      <c r="W276" s="257">
        <v>1.4</v>
      </c>
      <c r="X276" s="257" t="s">
        <v>188</v>
      </c>
      <c r="Y276" s="257" t="s">
        <v>1932</v>
      </c>
      <c r="Z276" s="257">
        <v>1.6</v>
      </c>
      <c r="AA276" s="257" t="s">
        <v>188</v>
      </c>
      <c r="AB276" s="257" t="s">
        <v>862</v>
      </c>
      <c r="AC276" s="257">
        <v>75</v>
      </c>
      <c r="AD276" s="257">
        <v>150</v>
      </c>
      <c r="AE276" s="257">
        <v>720.1</v>
      </c>
      <c r="AF276" s="257">
        <v>721.8</v>
      </c>
      <c r="AG276" s="257">
        <v>183</v>
      </c>
      <c r="AH276" s="257" t="s">
        <v>193</v>
      </c>
      <c r="AI276" s="257">
        <v>-4.1</v>
      </c>
      <c r="AJ276" s="257">
        <v>210</v>
      </c>
      <c r="AK276" s="257" t="s">
        <v>310</v>
      </c>
      <c r="AL276" s="257">
        <v>-2.7</v>
      </c>
      <c r="AM276" s="257">
        <v>33.7</v>
      </c>
      <c r="AN276" s="270">
        <v>-27.7</v>
      </c>
    </row>
    <row r="277" ht="20.2" customHeight="1" spans="1:40">
      <c r="A277" s="372"/>
      <c r="B277" s="361">
        <v>6</v>
      </c>
      <c r="C277" s="357" t="s">
        <v>1933</v>
      </c>
      <c r="D277" s="358" t="s">
        <v>1934</v>
      </c>
      <c r="E277" s="257" t="s">
        <v>1935</v>
      </c>
      <c r="F277" s="257" t="s">
        <v>1936</v>
      </c>
      <c r="G277" s="261">
        <v>3967.5</v>
      </c>
      <c r="H277" s="261" t="s">
        <v>861</v>
      </c>
      <c r="I277" s="257">
        <v>-0.9</v>
      </c>
      <c r="J277" s="257">
        <v>-18</v>
      </c>
      <c r="K277" s="257">
        <v>-12.6</v>
      </c>
      <c r="L277" s="257">
        <v>-21.1</v>
      </c>
      <c r="M277" s="257">
        <v>53</v>
      </c>
      <c r="N277" s="257">
        <v>17.3</v>
      </c>
      <c r="O277" s="257">
        <v>10.9</v>
      </c>
      <c r="P277" s="257">
        <v>13.4</v>
      </c>
      <c r="Q277" s="257">
        <v>57</v>
      </c>
      <c r="R277" s="257">
        <v>12.1</v>
      </c>
      <c r="S277" s="257">
        <v>2.2</v>
      </c>
      <c r="T277" s="257" t="s">
        <v>198</v>
      </c>
      <c r="U277" s="257" t="s">
        <v>854</v>
      </c>
      <c r="V277" s="257">
        <v>3.4</v>
      </c>
      <c r="W277" s="257">
        <v>2</v>
      </c>
      <c r="X277" s="257" t="s">
        <v>144</v>
      </c>
      <c r="Y277" s="257" t="s">
        <v>1546</v>
      </c>
      <c r="Z277" s="257">
        <v>4.9</v>
      </c>
      <c r="AA277" s="257" t="s">
        <v>395</v>
      </c>
      <c r="AB277" s="257" t="s">
        <v>1937</v>
      </c>
      <c r="AC277" s="257">
        <v>62</v>
      </c>
      <c r="AD277" s="257">
        <v>238</v>
      </c>
      <c r="AE277" s="257">
        <v>624</v>
      </c>
      <c r="AF277" s="257">
        <v>630.1</v>
      </c>
      <c r="AG277" s="257">
        <v>255</v>
      </c>
      <c r="AH277" s="257" t="s">
        <v>1938</v>
      </c>
      <c r="AI277" s="257">
        <v>-4.9</v>
      </c>
      <c r="AJ277" s="257">
        <v>302</v>
      </c>
      <c r="AK277" s="257" t="s">
        <v>1939</v>
      </c>
      <c r="AL277" s="257">
        <v>-2.9</v>
      </c>
      <c r="AM277" s="257">
        <v>23.3</v>
      </c>
      <c r="AN277" s="270">
        <v>-34</v>
      </c>
    </row>
    <row r="278" ht="20.2" customHeight="1" spans="1:40">
      <c r="A278" s="372"/>
      <c r="B278" s="361">
        <v>7</v>
      </c>
      <c r="C278" s="357" t="s">
        <v>1940</v>
      </c>
      <c r="D278" s="358" t="s">
        <v>1941</v>
      </c>
      <c r="E278" s="257" t="s">
        <v>1942</v>
      </c>
      <c r="F278" s="257" t="s">
        <v>1943</v>
      </c>
      <c r="G278" s="257">
        <v>2787.4</v>
      </c>
      <c r="H278" s="257" t="s">
        <v>47</v>
      </c>
      <c r="I278" s="257">
        <v>1</v>
      </c>
      <c r="J278" s="257">
        <v>-17.2</v>
      </c>
      <c r="K278" s="257">
        <v>-13.2</v>
      </c>
      <c r="L278" s="257">
        <v>-19.7</v>
      </c>
      <c r="M278" s="257">
        <v>44</v>
      </c>
      <c r="N278" s="257">
        <v>23</v>
      </c>
      <c r="O278" s="257">
        <v>13.8</v>
      </c>
      <c r="P278" s="257">
        <v>18.3</v>
      </c>
      <c r="Q278" s="257">
        <v>48</v>
      </c>
      <c r="R278" s="257">
        <v>15.9</v>
      </c>
      <c r="S278" s="257">
        <v>2.2</v>
      </c>
      <c r="T278" s="257" t="s">
        <v>211</v>
      </c>
      <c r="U278" s="257" t="s">
        <v>1944</v>
      </c>
      <c r="V278" s="257">
        <v>2.9</v>
      </c>
      <c r="W278" s="257">
        <v>1.5</v>
      </c>
      <c r="X278" s="257" t="s">
        <v>845</v>
      </c>
      <c r="Y278" s="257" t="s">
        <v>1686</v>
      </c>
      <c r="Z278" s="257">
        <v>2.3</v>
      </c>
      <c r="AA278" s="257" t="s">
        <v>845</v>
      </c>
      <c r="AB278" s="257" t="s">
        <v>915</v>
      </c>
      <c r="AC278" s="257">
        <v>73</v>
      </c>
      <c r="AD278" s="257">
        <v>250</v>
      </c>
      <c r="AE278" s="257">
        <v>725.1</v>
      </c>
      <c r="AF278" s="257">
        <v>727.3</v>
      </c>
      <c r="AG278" s="257">
        <v>213</v>
      </c>
      <c r="AH278" s="257" t="s">
        <v>1945</v>
      </c>
      <c r="AI278" s="257">
        <v>-5.8</v>
      </c>
      <c r="AJ278" s="257">
        <v>252</v>
      </c>
      <c r="AK278" s="257" t="s">
        <v>1946</v>
      </c>
      <c r="AL278" s="257">
        <v>-3.8</v>
      </c>
      <c r="AM278" s="257">
        <v>33.3</v>
      </c>
      <c r="AN278" s="270">
        <v>-32</v>
      </c>
    </row>
    <row r="279" s="302" customFormat="1" ht="20.2" customHeight="1" spans="1:40">
      <c r="A279" s="399"/>
      <c r="B279" s="353">
        <v>8</v>
      </c>
      <c r="C279" s="407" t="s">
        <v>1947</v>
      </c>
      <c r="D279" s="351" t="s">
        <v>1948</v>
      </c>
      <c r="E279" s="351" t="s">
        <v>1949</v>
      </c>
      <c r="F279" s="351" t="s">
        <v>1950</v>
      </c>
      <c r="G279" s="351">
        <v>1813.9</v>
      </c>
      <c r="H279" s="351" t="s">
        <v>47</v>
      </c>
      <c r="I279" s="351">
        <v>7.9</v>
      </c>
      <c r="J279" s="351">
        <v>-10.5</v>
      </c>
      <c r="K279" s="351">
        <v>-6.2</v>
      </c>
      <c r="L279" s="351">
        <v>-13.4</v>
      </c>
      <c r="M279" s="351">
        <v>51</v>
      </c>
      <c r="N279" s="351">
        <v>28.8</v>
      </c>
      <c r="O279" s="351">
        <v>19.4</v>
      </c>
      <c r="P279" s="351">
        <v>24.5</v>
      </c>
      <c r="Q279" s="351">
        <v>50</v>
      </c>
      <c r="R279" s="351">
        <v>23.3</v>
      </c>
      <c r="S279" s="351">
        <v>1.4</v>
      </c>
      <c r="T279" s="351" t="s">
        <v>121</v>
      </c>
      <c r="U279" s="351" t="s">
        <v>1951</v>
      </c>
      <c r="V279" s="351">
        <v>2.2</v>
      </c>
      <c r="W279" s="351">
        <v>1.4</v>
      </c>
      <c r="X279" s="351" t="s">
        <v>278</v>
      </c>
      <c r="Y279" s="351" t="s">
        <v>1952</v>
      </c>
      <c r="Z279" s="351">
        <v>2.6</v>
      </c>
      <c r="AA279" s="351" t="s">
        <v>1953</v>
      </c>
      <c r="AB279" s="351" t="s">
        <v>857</v>
      </c>
      <c r="AC279" s="351">
        <v>61</v>
      </c>
      <c r="AD279" s="351">
        <v>108</v>
      </c>
      <c r="AE279" s="351">
        <v>820.3</v>
      </c>
      <c r="AF279" s="351">
        <v>815</v>
      </c>
      <c r="AG279" s="351">
        <v>146</v>
      </c>
      <c r="AH279" s="351" t="s">
        <v>1954</v>
      </c>
      <c r="AI279" s="351">
        <v>-2.1</v>
      </c>
      <c r="AJ279" s="351">
        <v>173</v>
      </c>
      <c r="AK279" s="351" t="s">
        <v>1955</v>
      </c>
      <c r="AL279" s="351">
        <v>-0.8</v>
      </c>
      <c r="AM279" s="351">
        <v>37.2</v>
      </c>
      <c r="AN279" s="408">
        <v>-24.9</v>
      </c>
    </row>
    <row r="280" s="308" customFormat="1" ht="20.2" customHeight="1" spans="1:40">
      <c r="A280" s="360" t="s">
        <v>1956</v>
      </c>
      <c r="B280" s="456">
        <v>1</v>
      </c>
      <c r="C280" s="457" t="s">
        <v>1957</v>
      </c>
      <c r="D280" s="456" t="s">
        <v>1958</v>
      </c>
      <c r="E280" s="456" t="s">
        <v>1959</v>
      </c>
      <c r="F280" s="456" t="s">
        <v>1960</v>
      </c>
      <c r="G280" s="456">
        <v>1111.4</v>
      </c>
      <c r="H280" s="456" t="s">
        <v>47</v>
      </c>
      <c r="I280" s="456">
        <v>9</v>
      </c>
      <c r="J280" s="456">
        <v>-13.1</v>
      </c>
      <c r="K280" s="456">
        <v>-7.9</v>
      </c>
      <c r="L280" s="456">
        <v>-17.3</v>
      </c>
      <c r="M280" s="456">
        <v>55</v>
      </c>
      <c r="N280" s="456">
        <v>31.2</v>
      </c>
      <c r="O280" s="456">
        <v>22.1</v>
      </c>
      <c r="P280" s="456">
        <v>27.6</v>
      </c>
      <c r="Q280" s="456">
        <v>48</v>
      </c>
      <c r="R280" s="456">
        <v>26.2</v>
      </c>
      <c r="S280" s="456">
        <v>2.1</v>
      </c>
      <c r="T280" s="456" t="s">
        <v>130</v>
      </c>
      <c r="U280" s="456" t="s">
        <v>870</v>
      </c>
      <c r="V280" s="456">
        <v>2.9</v>
      </c>
      <c r="W280" s="456">
        <v>1.8</v>
      </c>
      <c r="X280" s="456" t="s">
        <v>80</v>
      </c>
      <c r="Y280" s="456" t="s">
        <v>1961</v>
      </c>
      <c r="Z280" s="456">
        <v>2.2</v>
      </c>
      <c r="AA280" s="456" t="s">
        <v>80</v>
      </c>
      <c r="AB280" s="456" t="s">
        <v>1962</v>
      </c>
      <c r="AC280" s="456">
        <v>68</v>
      </c>
      <c r="AD280" s="456">
        <v>88</v>
      </c>
      <c r="AE280" s="456">
        <v>896.1</v>
      </c>
      <c r="AF280" s="456">
        <v>883.9</v>
      </c>
      <c r="AG280" s="456">
        <v>145</v>
      </c>
      <c r="AH280" s="456" t="s">
        <v>136</v>
      </c>
      <c r="AI280" s="456">
        <v>-3.2</v>
      </c>
      <c r="AJ280" s="456">
        <v>169</v>
      </c>
      <c r="AK280" s="456" t="s">
        <v>1963</v>
      </c>
      <c r="AL280" s="456">
        <v>-1.8</v>
      </c>
      <c r="AM280" s="456">
        <v>38.7</v>
      </c>
      <c r="AN280" s="458">
        <v>-27.7</v>
      </c>
    </row>
    <row r="281" ht="20.2" customHeight="1" spans="1:40">
      <c r="A281" s="239"/>
      <c r="B281" s="255">
        <v>2</v>
      </c>
      <c r="C281" s="253" t="s">
        <v>1964</v>
      </c>
      <c r="D281" s="255" t="s">
        <v>1965</v>
      </c>
      <c r="E281" s="257" t="s">
        <v>1966</v>
      </c>
      <c r="F281" s="257" t="s">
        <v>1516</v>
      </c>
      <c r="G281" s="261">
        <v>1091</v>
      </c>
      <c r="H281" s="261" t="s">
        <v>47</v>
      </c>
      <c r="I281" s="257">
        <v>8.8</v>
      </c>
      <c r="J281" s="257">
        <v>-13.6</v>
      </c>
      <c r="K281" s="257">
        <v>-8.4</v>
      </c>
      <c r="L281" s="257">
        <v>-17.4</v>
      </c>
      <c r="M281" s="257">
        <v>50</v>
      </c>
      <c r="N281" s="257">
        <v>31.8</v>
      </c>
      <c r="O281" s="257">
        <v>21.5</v>
      </c>
      <c r="P281" s="257">
        <v>28</v>
      </c>
      <c r="Q281" s="257">
        <v>42</v>
      </c>
      <c r="R281" s="257">
        <v>26.8</v>
      </c>
      <c r="S281" s="257">
        <v>3.1</v>
      </c>
      <c r="T281" s="257" t="s">
        <v>130</v>
      </c>
      <c r="U281" s="257" t="s">
        <v>317</v>
      </c>
      <c r="V281" s="257">
        <v>3.1</v>
      </c>
      <c r="W281" s="257">
        <v>2.7</v>
      </c>
      <c r="X281" s="257" t="s">
        <v>80</v>
      </c>
      <c r="Y281" s="257" t="s">
        <v>1961</v>
      </c>
      <c r="Z281" s="257">
        <v>4.7</v>
      </c>
      <c r="AA281" s="257" t="s">
        <v>130</v>
      </c>
      <c r="AB281" s="257" t="s">
        <v>1967</v>
      </c>
      <c r="AC281" s="257">
        <v>73</v>
      </c>
      <c r="AD281" s="257">
        <v>91</v>
      </c>
      <c r="AE281" s="257">
        <v>898.2</v>
      </c>
      <c r="AF281" s="257">
        <v>885.7</v>
      </c>
      <c r="AG281" s="257">
        <v>146</v>
      </c>
      <c r="AH281" s="257" t="s">
        <v>1954</v>
      </c>
      <c r="AI281" s="257">
        <v>-3.7</v>
      </c>
      <c r="AJ281" s="257">
        <v>169</v>
      </c>
      <c r="AK281" s="257" t="s">
        <v>1963</v>
      </c>
      <c r="AL281" s="257">
        <v>-2.3</v>
      </c>
      <c r="AM281" s="257">
        <v>38</v>
      </c>
      <c r="AN281" s="270">
        <v>-28.4</v>
      </c>
    </row>
    <row r="282" ht="20.2" customHeight="1" spans="1:40">
      <c r="A282" s="239"/>
      <c r="B282" s="255">
        <v>3</v>
      </c>
      <c r="C282" s="253" t="s">
        <v>1968</v>
      </c>
      <c r="D282" s="255" t="s">
        <v>1969</v>
      </c>
      <c r="E282" s="257" t="s">
        <v>1970</v>
      </c>
      <c r="F282" s="257" t="s">
        <v>1971</v>
      </c>
      <c r="G282" s="257">
        <v>1343.9</v>
      </c>
      <c r="H282" s="257" t="s">
        <v>47</v>
      </c>
      <c r="I282" s="257">
        <v>9.1</v>
      </c>
      <c r="J282" s="257">
        <v>-12</v>
      </c>
      <c r="K282" s="257">
        <v>-7.1</v>
      </c>
      <c r="L282" s="257">
        <v>-16</v>
      </c>
      <c r="M282" s="257">
        <v>50</v>
      </c>
      <c r="N282" s="257">
        <v>32.4</v>
      </c>
      <c r="O282" s="257">
        <v>20.7</v>
      </c>
      <c r="P282" s="257">
        <v>27.7</v>
      </c>
      <c r="Q282" s="257">
        <v>40</v>
      </c>
      <c r="R282" s="257">
        <v>26.6</v>
      </c>
      <c r="S282" s="257">
        <v>3.2</v>
      </c>
      <c r="T282" s="257" t="s">
        <v>70</v>
      </c>
      <c r="U282" s="257">
        <v>23</v>
      </c>
      <c r="V282" s="257">
        <v>3.4</v>
      </c>
      <c r="W282" s="257">
        <v>2.3</v>
      </c>
      <c r="X282" s="257" t="s">
        <v>211</v>
      </c>
      <c r="Y282" s="257" t="s">
        <v>316</v>
      </c>
      <c r="Z282" s="257">
        <v>2.8</v>
      </c>
      <c r="AA282" s="257" t="s">
        <v>70</v>
      </c>
      <c r="AB282" s="257">
        <v>21</v>
      </c>
      <c r="AC282" s="257">
        <v>72</v>
      </c>
      <c r="AD282" s="257">
        <v>130</v>
      </c>
      <c r="AE282" s="257">
        <v>870.6</v>
      </c>
      <c r="AF282" s="257">
        <v>860.6</v>
      </c>
      <c r="AG282" s="257">
        <v>143</v>
      </c>
      <c r="AH282" s="257" t="s">
        <v>1972</v>
      </c>
      <c r="AI282" s="257">
        <v>-2.8</v>
      </c>
      <c r="AJ282" s="257">
        <v>168</v>
      </c>
      <c r="AK282" s="257" t="s">
        <v>1973</v>
      </c>
      <c r="AL282" s="257">
        <v>-1.4</v>
      </c>
      <c r="AM282" s="257">
        <v>39</v>
      </c>
      <c r="AN282" s="270">
        <v>-27.1</v>
      </c>
    </row>
    <row r="283" s="306" customFormat="1" ht="20.2" customHeight="1" spans="1:40">
      <c r="A283" s="239"/>
      <c r="B283" s="364">
        <v>4</v>
      </c>
      <c r="C283" s="253" t="s">
        <v>1974</v>
      </c>
      <c r="D283" s="255" t="s">
        <v>1975</v>
      </c>
      <c r="E283" s="255" t="s">
        <v>1976</v>
      </c>
      <c r="F283" s="255" t="s">
        <v>1977</v>
      </c>
      <c r="G283" s="255">
        <v>1753</v>
      </c>
      <c r="H283" s="255" t="s">
        <v>47</v>
      </c>
      <c r="I283" s="255">
        <v>6.4</v>
      </c>
      <c r="J283" s="255">
        <v>-13.2</v>
      </c>
      <c r="K283" s="255">
        <v>-8.1</v>
      </c>
      <c r="L283" s="255">
        <v>-17.3</v>
      </c>
      <c r="M283" s="255">
        <v>56</v>
      </c>
      <c r="N283" s="255">
        <v>27.7</v>
      </c>
      <c r="O283" s="255">
        <v>19</v>
      </c>
      <c r="P283" s="255">
        <v>23.2</v>
      </c>
      <c r="Q283" s="255">
        <v>54</v>
      </c>
      <c r="R283" s="255">
        <v>22.2</v>
      </c>
      <c r="S283" s="255">
        <v>2.7</v>
      </c>
      <c r="T283" s="255" t="s">
        <v>211</v>
      </c>
      <c r="U283" s="255" t="s">
        <v>114</v>
      </c>
      <c r="V283" s="255">
        <v>3.7</v>
      </c>
      <c r="W283" s="255">
        <v>2.7</v>
      </c>
      <c r="X283" s="255" t="s">
        <v>202</v>
      </c>
      <c r="Y283" s="255" t="s">
        <v>1978</v>
      </c>
      <c r="Z283" s="255">
        <v>3.8</v>
      </c>
      <c r="AA283" s="255" t="s">
        <v>278</v>
      </c>
      <c r="AB283" s="255" t="s">
        <v>600</v>
      </c>
      <c r="AC283" s="255">
        <v>67</v>
      </c>
      <c r="AD283" s="255">
        <v>121</v>
      </c>
      <c r="AE283" s="255">
        <v>826.8</v>
      </c>
      <c r="AF283" s="255">
        <v>821.1</v>
      </c>
      <c r="AG283" s="255">
        <v>166</v>
      </c>
      <c r="AH283" s="255" t="s">
        <v>137</v>
      </c>
      <c r="AI283" s="255">
        <v>-3.1</v>
      </c>
      <c r="AJ283" s="255">
        <v>189</v>
      </c>
      <c r="AK283" s="255" t="s">
        <v>1979</v>
      </c>
      <c r="AL283" s="255">
        <v>-1.9</v>
      </c>
      <c r="AM283" s="255">
        <v>34.6</v>
      </c>
      <c r="AN283" s="437">
        <v>-30.9</v>
      </c>
    </row>
    <row r="284" s="299" customFormat="1" ht="20.2" customHeight="1" spans="1:40">
      <c r="A284" s="239"/>
      <c r="B284" s="393">
        <v>5</v>
      </c>
      <c r="C284" s="394" t="s">
        <v>1980</v>
      </c>
      <c r="D284" s="393" t="s">
        <v>1981</v>
      </c>
      <c r="E284" s="393" t="s">
        <v>946</v>
      </c>
      <c r="F284" s="393" t="s">
        <v>1575</v>
      </c>
      <c r="G284" s="393">
        <v>1225.7</v>
      </c>
      <c r="H284" s="393" t="s">
        <v>47</v>
      </c>
      <c r="I284" s="393">
        <v>8.7</v>
      </c>
      <c r="J284" s="393">
        <v>-12.6</v>
      </c>
      <c r="K284" s="393">
        <v>-7.5</v>
      </c>
      <c r="L284" s="393">
        <v>-16.4</v>
      </c>
      <c r="M284" s="393">
        <v>51</v>
      </c>
      <c r="N284" s="393">
        <v>31</v>
      </c>
      <c r="O284" s="393">
        <v>21.1</v>
      </c>
      <c r="P284" s="393">
        <v>27.2</v>
      </c>
      <c r="Q284" s="393">
        <v>47</v>
      </c>
      <c r="R284" s="393">
        <v>25.7</v>
      </c>
      <c r="S284" s="393">
        <v>1.9</v>
      </c>
      <c r="T284" s="393" t="s">
        <v>90</v>
      </c>
      <c r="U284" s="393" t="s">
        <v>1982</v>
      </c>
      <c r="V284" s="393">
        <v>1.9</v>
      </c>
      <c r="W284" s="393">
        <v>1.8</v>
      </c>
      <c r="X284" s="393" t="s">
        <v>92</v>
      </c>
      <c r="Y284" s="393" t="s">
        <v>1273</v>
      </c>
      <c r="Z284" s="393">
        <v>2.6</v>
      </c>
      <c r="AA284" s="393" t="s">
        <v>90</v>
      </c>
      <c r="AB284" s="393" t="s">
        <v>1664</v>
      </c>
      <c r="AC284" s="393">
        <v>72</v>
      </c>
      <c r="AD284" s="393">
        <v>66</v>
      </c>
      <c r="AE284" s="393">
        <v>883</v>
      </c>
      <c r="AF284" s="393">
        <v>871.7</v>
      </c>
      <c r="AG284" s="393">
        <v>145</v>
      </c>
      <c r="AH284" s="393" t="s">
        <v>1983</v>
      </c>
      <c r="AI284" s="393">
        <v>-3.1</v>
      </c>
      <c r="AJ284" s="393">
        <v>170</v>
      </c>
      <c r="AK284" s="393" t="s">
        <v>1825</v>
      </c>
      <c r="AL284" s="393">
        <v>-1.6</v>
      </c>
      <c r="AM284" s="393">
        <v>37.6</v>
      </c>
      <c r="AN284" s="395">
        <v>-29.2</v>
      </c>
    </row>
    <row r="285" s="303" customFormat="1" ht="20.2" customHeight="1" spans="1:40">
      <c r="A285" s="432" t="s">
        <v>1984</v>
      </c>
      <c r="B285" s="411">
        <v>1</v>
      </c>
      <c r="C285" s="410" t="s">
        <v>1985</v>
      </c>
      <c r="D285" s="411" t="s">
        <v>1986</v>
      </c>
      <c r="E285" s="411" t="s">
        <v>1987</v>
      </c>
      <c r="F285" s="411" t="s">
        <v>1988</v>
      </c>
      <c r="G285" s="411">
        <v>917.9</v>
      </c>
      <c r="H285" s="411" t="s">
        <v>47</v>
      </c>
      <c r="I285" s="411">
        <v>7</v>
      </c>
      <c r="J285" s="411">
        <v>-19.7</v>
      </c>
      <c r="K285" s="411">
        <v>-12.7</v>
      </c>
      <c r="L285" s="411">
        <v>-23.7</v>
      </c>
      <c r="M285" s="411">
        <v>78</v>
      </c>
      <c r="N285" s="411">
        <v>33.5</v>
      </c>
      <c r="O285" s="411">
        <v>18.2</v>
      </c>
      <c r="P285" s="411">
        <v>27.5</v>
      </c>
      <c r="Q285" s="411">
        <v>34</v>
      </c>
      <c r="R285" s="411">
        <v>28.3</v>
      </c>
      <c r="S285" s="411">
        <v>3</v>
      </c>
      <c r="T285" s="411" t="s">
        <v>71</v>
      </c>
      <c r="U285" s="411">
        <v>15</v>
      </c>
      <c r="V285" s="411">
        <v>3.7</v>
      </c>
      <c r="W285" s="411">
        <v>1.6</v>
      </c>
      <c r="X285" s="411" t="s">
        <v>130</v>
      </c>
      <c r="Y285" s="411" t="s">
        <v>1989</v>
      </c>
      <c r="Z285" s="411">
        <v>2</v>
      </c>
      <c r="AA285" s="411" t="s">
        <v>202</v>
      </c>
      <c r="AB285" s="411" t="s">
        <v>1990</v>
      </c>
      <c r="AC285" s="411">
        <v>39</v>
      </c>
      <c r="AD285" s="411">
        <v>139</v>
      </c>
      <c r="AE285" s="411">
        <v>924.6</v>
      </c>
      <c r="AF285" s="411">
        <v>911.2</v>
      </c>
      <c r="AG285" s="411">
        <v>158</v>
      </c>
      <c r="AH285" s="411" t="s">
        <v>1991</v>
      </c>
      <c r="AI285" s="411">
        <v>-7.1</v>
      </c>
      <c r="AJ285" s="411">
        <v>180</v>
      </c>
      <c r="AK285" s="411" t="s">
        <v>1992</v>
      </c>
      <c r="AL285" s="411">
        <v>-5.4</v>
      </c>
      <c r="AM285" s="411">
        <v>42.1</v>
      </c>
      <c r="AN285" s="412">
        <v>-32.8</v>
      </c>
    </row>
    <row r="286" ht="20.2" customHeight="1" spans="1:40">
      <c r="A286" s="372"/>
      <c r="B286" s="361">
        <v>2</v>
      </c>
      <c r="C286" s="357" t="s">
        <v>1993</v>
      </c>
      <c r="D286" s="358" t="s">
        <v>1994</v>
      </c>
      <c r="E286" s="257" t="s">
        <v>1995</v>
      </c>
      <c r="F286" s="257" t="s">
        <v>1996</v>
      </c>
      <c r="G286" s="261">
        <v>449.5</v>
      </c>
      <c r="H286" s="261" t="s">
        <v>47</v>
      </c>
      <c r="I286" s="261">
        <v>8.6</v>
      </c>
      <c r="J286" s="257">
        <v>-22.2</v>
      </c>
      <c r="K286" s="257">
        <v>-15.4</v>
      </c>
      <c r="L286" s="257">
        <v>-26.5</v>
      </c>
      <c r="M286" s="257">
        <v>78</v>
      </c>
      <c r="N286" s="257">
        <v>36.4</v>
      </c>
      <c r="O286" s="257">
        <v>19.8</v>
      </c>
      <c r="P286" s="257">
        <v>30.6</v>
      </c>
      <c r="Q286" s="257">
        <v>26</v>
      </c>
      <c r="R286" s="257">
        <v>32.3</v>
      </c>
      <c r="S286" s="257">
        <v>4.4</v>
      </c>
      <c r="T286" s="257" t="s">
        <v>71</v>
      </c>
      <c r="U286" s="257">
        <v>29</v>
      </c>
      <c r="V286" s="257">
        <v>6.6</v>
      </c>
      <c r="W286" s="257">
        <v>1.1</v>
      </c>
      <c r="X286" s="257" t="s">
        <v>497</v>
      </c>
      <c r="Y286" s="257" t="s">
        <v>1997</v>
      </c>
      <c r="Z286" s="257">
        <v>2.1</v>
      </c>
      <c r="AA286" s="257" t="s">
        <v>202</v>
      </c>
      <c r="AB286" s="257" t="s">
        <v>1998</v>
      </c>
      <c r="AC286" s="257">
        <v>47</v>
      </c>
      <c r="AD286" s="257">
        <v>192</v>
      </c>
      <c r="AE286" s="257">
        <v>979</v>
      </c>
      <c r="AF286" s="257">
        <v>957.6</v>
      </c>
      <c r="AG286" s="257">
        <v>147</v>
      </c>
      <c r="AH286" s="257" t="s">
        <v>1999</v>
      </c>
      <c r="AI286" s="257">
        <v>-8.6</v>
      </c>
      <c r="AJ286" s="257">
        <v>165</v>
      </c>
      <c r="AK286" s="257" t="s">
        <v>2000</v>
      </c>
      <c r="AL286" s="257">
        <v>-7</v>
      </c>
      <c r="AM286" s="257">
        <v>42.7</v>
      </c>
      <c r="AN286" s="270">
        <v>-34.3</v>
      </c>
    </row>
    <row r="287" ht="20.2" customHeight="1" spans="1:40">
      <c r="A287" s="372"/>
      <c r="B287" s="361">
        <v>3</v>
      </c>
      <c r="C287" s="357" t="s">
        <v>2001</v>
      </c>
      <c r="D287" s="358" t="s">
        <v>2002</v>
      </c>
      <c r="E287" s="257" t="s">
        <v>2003</v>
      </c>
      <c r="F287" s="257" t="s">
        <v>2004</v>
      </c>
      <c r="G287" s="257">
        <v>34.5</v>
      </c>
      <c r="H287" s="257" t="s">
        <v>47</v>
      </c>
      <c r="I287" s="257">
        <v>14.4</v>
      </c>
      <c r="J287" s="257">
        <v>-12.6</v>
      </c>
      <c r="K287" s="257">
        <v>-7.6</v>
      </c>
      <c r="L287" s="257">
        <v>-17.1</v>
      </c>
      <c r="M287" s="257">
        <v>60</v>
      </c>
      <c r="N287" s="257">
        <v>40.3</v>
      </c>
      <c r="O287" s="257">
        <v>24.2</v>
      </c>
      <c r="P287" s="257">
        <v>36.2</v>
      </c>
      <c r="Q287" s="257">
        <v>26</v>
      </c>
      <c r="R287" s="257">
        <v>35.3</v>
      </c>
      <c r="S287" s="257">
        <v>1.5</v>
      </c>
      <c r="T287" s="257" t="s">
        <v>90</v>
      </c>
      <c r="U287" s="257" t="s">
        <v>439</v>
      </c>
      <c r="V287" s="257">
        <v>2.4</v>
      </c>
      <c r="W287" s="257">
        <v>0.5</v>
      </c>
      <c r="X287" s="257" t="s">
        <v>211</v>
      </c>
      <c r="Y287" s="257" t="s">
        <v>1131</v>
      </c>
      <c r="Z287" s="257">
        <v>1.3</v>
      </c>
      <c r="AA287" s="257" t="s">
        <v>90</v>
      </c>
      <c r="AB287" s="257" t="s">
        <v>1546</v>
      </c>
      <c r="AC287" s="257">
        <v>56</v>
      </c>
      <c r="AD287" s="257">
        <v>83</v>
      </c>
      <c r="AE287" s="257">
        <v>1027.9</v>
      </c>
      <c r="AF287" s="257">
        <v>997.6</v>
      </c>
      <c r="AG287" s="257">
        <v>118</v>
      </c>
      <c r="AH287" s="257" t="s">
        <v>2005</v>
      </c>
      <c r="AI287" s="257">
        <v>-3.4</v>
      </c>
      <c r="AJ287" s="257">
        <v>136</v>
      </c>
      <c r="AK287" s="257" t="s">
        <v>2006</v>
      </c>
      <c r="AL287" s="257">
        <v>-2</v>
      </c>
      <c r="AM287" s="257">
        <v>47.7</v>
      </c>
      <c r="AN287" s="270">
        <v>-25.2</v>
      </c>
    </row>
    <row r="288" ht="20.2" customHeight="1" spans="1:40">
      <c r="A288" s="372"/>
      <c r="B288" s="361">
        <v>4</v>
      </c>
      <c r="C288" s="357" t="s">
        <v>2007</v>
      </c>
      <c r="D288" s="358" t="s">
        <v>2008</v>
      </c>
      <c r="E288" s="257" t="s">
        <v>2009</v>
      </c>
      <c r="F288" s="257" t="s">
        <v>2010</v>
      </c>
      <c r="G288" s="257">
        <v>737.2</v>
      </c>
      <c r="H288" s="257" t="s">
        <v>47</v>
      </c>
      <c r="I288" s="257">
        <v>10</v>
      </c>
      <c r="J288" s="257">
        <v>-15.6</v>
      </c>
      <c r="K288" s="257">
        <v>-10.4</v>
      </c>
      <c r="L288" s="257">
        <v>-18.9</v>
      </c>
      <c r="M288" s="257">
        <v>60</v>
      </c>
      <c r="N288" s="257">
        <v>35.8</v>
      </c>
      <c r="O288" s="257">
        <v>22.3</v>
      </c>
      <c r="P288" s="257">
        <v>31.5</v>
      </c>
      <c r="Q288" s="257">
        <v>28</v>
      </c>
      <c r="R288" s="257">
        <v>30</v>
      </c>
      <c r="S288" s="257">
        <v>1.8</v>
      </c>
      <c r="T288" s="257" t="s">
        <v>198</v>
      </c>
      <c r="U288" s="257" t="s">
        <v>1686</v>
      </c>
      <c r="V288" s="257">
        <v>2.8</v>
      </c>
      <c r="W288" s="257">
        <v>1.5</v>
      </c>
      <c r="X288" s="257" t="s">
        <v>198</v>
      </c>
      <c r="Y288" s="257" t="s">
        <v>1247</v>
      </c>
      <c r="Z288" s="257">
        <v>2.1</v>
      </c>
      <c r="AA288" s="257" t="s">
        <v>198</v>
      </c>
      <c r="AB288" s="257" t="s">
        <v>812</v>
      </c>
      <c r="AC288" s="257">
        <v>72</v>
      </c>
      <c r="AD288" s="257">
        <v>127</v>
      </c>
      <c r="AE288" s="257">
        <v>939.6</v>
      </c>
      <c r="AF288" s="257">
        <v>921</v>
      </c>
      <c r="AG288" s="257">
        <v>141</v>
      </c>
      <c r="AH288" s="257" t="s">
        <v>2011</v>
      </c>
      <c r="AI288" s="257">
        <v>-4.7</v>
      </c>
      <c r="AJ288" s="257">
        <v>162</v>
      </c>
      <c r="AK288" s="257" t="s">
        <v>2012</v>
      </c>
      <c r="AL288" s="257">
        <v>-3.2</v>
      </c>
      <c r="AM288" s="257">
        <v>43.2</v>
      </c>
      <c r="AN288" s="270">
        <v>-28.6</v>
      </c>
    </row>
    <row r="289" ht="20.2" customHeight="1" spans="1:40">
      <c r="A289" s="372"/>
      <c r="B289" s="361">
        <v>5</v>
      </c>
      <c r="C289" s="357" t="s">
        <v>2013</v>
      </c>
      <c r="D289" s="358" t="s">
        <v>2014</v>
      </c>
      <c r="E289" s="257" t="s">
        <v>2015</v>
      </c>
      <c r="F289" s="257" t="s">
        <v>2016</v>
      </c>
      <c r="G289" s="257">
        <v>1374.5</v>
      </c>
      <c r="H289" s="257" t="s">
        <v>47</v>
      </c>
      <c r="I289" s="257">
        <v>12.5</v>
      </c>
      <c r="J289" s="257">
        <v>-8.7</v>
      </c>
      <c r="K289" s="257">
        <v>-4.4</v>
      </c>
      <c r="L289" s="257">
        <v>-12.8</v>
      </c>
      <c r="M289" s="257">
        <v>54</v>
      </c>
      <c r="N289" s="257">
        <v>34.5</v>
      </c>
      <c r="O289" s="257">
        <v>21.6</v>
      </c>
      <c r="P289" s="257">
        <v>28.8</v>
      </c>
      <c r="Q289" s="257">
        <v>36</v>
      </c>
      <c r="R289" s="257">
        <v>28.9</v>
      </c>
      <c r="S289" s="257">
        <v>2</v>
      </c>
      <c r="T289" s="257" t="s">
        <v>285</v>
      </c>
      <c r="U289" s="257" t="s">
        <v>143</v>
      </c>
      <c r="V289" s="257">
        <v>2.2</v>
      </c>
      <c r="W289" s="257">
        <v>1.4</v>
      </c>
      <c r="X289" s="257" t="s">
        <v>285</v>
      </c>
      <c r="Y289" s="257" t="s">
        <v>2017</v>
      </c>
      <c r="Z289" s="257">
        <v>1.8</v>
      </c>
      <c r="AA289" s="257" t="s">
        <v>48</v>
      </c>
      <c r="AB289" s="257" t="s">
        <v>2018</v>
      </c>
      <c r="AC289" s="257">
        <v>56</v>
      </c>
      <c r="AD289" s="257">
        <v>64</v>
      </c>
      <c r="AE289" s="257">
        <v>866.9</v>
      </c>
      <c r="AF289" s="257">
        <v>856.5</v>
      </c>
      <c r="AG289" s="257">
        <v>114</v>
      </c>
      <c r="AH289" s="257" t="s">
        <v>2019</v>
      </c>
      <c r="AI289" s="257">
        <v>-1.4</v>
      </c>
      <c r="AJ289" s="257">
        <v>132</v>
      </c>
      <c r="AK289" s="257" t="s">
        <v>2020</v>
      </c>
      <c r="AL289" s="257">
        <v>-0.3</v>
      </c>
      <c r="AM289" s="257">
        <v>41.1</v>
      </c>
      <c r="AN289" s="270">
        <v>-20.1</v>
      </c>
    </row>
    <row r="290" ht="20.2" customHeight="1" spans="1:40">
      <c r="A290" s="372"/>
      <c r="B290" s="361">
        <v>6</v>
      </c>
      <c r="C290" s="357" t="s">
        <v>2021</v>
      </c>
      <c r="D290" s="358" t="s">
        <v>2022</v>
      </c>
      <c r="E290" s="257" t="s">
        <v>531</v>
      </c>
      <c r="F290" s="257" t="s">
        <v>2023</v>
      </c>
      <c r="G290" s="257">
        <v>835.3</v>
      </c>
      <c r="H290" s="257" t="s">
        <v>47</v>
      </c>
      <c r="I290" s="257">
        <v>4.5</v>
      </c>
      <c r="J290" s="257">
        <v>-24.5</v>
      </c>
      <c r="K290" s="257">
        <v>-15.5</v>
      </c>
      <c r="L290" s="257">
        <v>-29.5</v>
      </c>
      <c r="M290" s="257">
        <v>74</v>
      </c>
      <c r="N290" s="257">
        <v>30.8</v>
      </c>
      <c r="O290" s="257">
        <v>19.9</v>
      </c>
      <c r="P290" s="257">
        <v>25.5</v>
      </c>
      <c r="Q290" s="257">
        <v>43</v>
      </c>
      <c r="R290" s="257">
        <v>26.3</v>
      </c>
      <c r="S290" s="257">
        <v>2.6</v>
      </c>
      <c r="T290" s="257" t="s">
        <v>92</v>
      </c>
      <c r="U290" s="257" t="s">
        <v>897</v>
      </c>
      <c r="V290" s="257">
        <v>4.2</v>
      </c>
      <c r="W290" s="257">
        <v>1.2</v>
      </c>
      <c r="X290" s="257" t="s">
        <v>198</v>
      </c>
      <c r="Y290" s="257" t="s">
        <v>2024</v>
      </c>
      <c r="Z290" s="257">
        <v>2.4</v>
      </c>
      <c r="AA290" s="257" t="s">
        <v>162</v>
      </c>
      <c r="AB290" s="257" t="s">
        <v>255</v>
      </c>
      <c r="AC290" s="257">
        <v>58</v>
      </c>
      <c r="AD290" s="257">
        <v>139</v>
      </c>
      <c r="AE290" s="257">
        <v>941.1</v>
      </c>
      <c r="AF290" s="257">
        <v>925</v>
      </c>
      <c r="AG290" s="257">
        <v>176</v>
      </c>
      <c r="AH290" s="257" t="s">
        <v>344</v>
      </c>
      <c r="AI290" s="257">
        <v>-8.6</v>
      </c>
      <c r="AJ290" s="257">
        <v>190</v>
      </c>
      <c r="AK290" s="257" t="s">
        <v>2025</v>
      </c>
      <c r="AL290" s="257">
        <v>-7.5</v>
      </c>
      <c r="AM290" s="257">
        <v>37.5</v>
      </c>
      <c r="AN290" s="270">
        <v>-41.6</v>
      </c>
    </row>
    <row r="291" ht="20.2" customHeight="1" spans="1:40">
      <c r="A291" s="372"/>
      <c r="B291" s="361">
        <v>7</v>
      </c>
      <c r="C291" s="357" t="s">
        <v>2026</v>
      </c>
      <c r="D291" s="358" t="s">
        <v>2027</v>
      </c>
      <c r="E291" s="257" t="s">
        <v>2028</v>
      </c>
      <c r="F291" s="257" t="s">
        <v>2029</v>
      </c>
      <c r="G291" s="257">
        <v>1288.7</v>
      </c>
      <c r="H291" s="257" t="s">
        <v>47</v>
      </c>
      <c r="I291" s="261">
        <v>11.8</v>
      </c>
      <c r="J291" s="257">
        <v>-10.9</v>
      </c>
      <c r="K291" s="257">
        <v>-5.3</v>
      </c>
      <c r="L291" s="257">
        <v>-14.6</v>
      </c>
      <c r="M291" s="257">
        <v>67</v>
      </c>
      <c r="N291" s="257">
        <v>33.8</v>
      </c>
      <c r="O291" s="257">
        <v>21.2</v>
      </c>
      <c r="P291" s="257">
        <v>28.8</v>
      </c>
      <c r="Q291" s="257">
        <v>34</v>
      </c>
      <c r="R291" s="257">
        <v>28.7</v>
      </c>
      <c r="S291" s="257">
        <v>2.1</v>
      </c>
      <c r="T291" s="257" t="s">
        <v>202</v>
      </c>
      <c r="U291" s="257" t="s">
        <v>2030</v>
      </c>
      <c r="V291" s="257">
        <v>3</v>
      </c>
      <c r="W291" s="257">
        <v>1.1</v>
      </c>
      <c r="X291" s="257" t="s">
        <v>202</v>
      </c>
      <c r="Y291" s="257" t="s">
        <v>2031</v>
      </c>
      <c r="Z291" s="257">
        <v>1.7</v>
      </c>
      <c r="AA291" s="257" t="s">
        <v>202</v>
      </c>
      <c r="AB291" s="257" t="s">
        <v>1586</v>
      </c>
      <c r="AC291" s="257">
        <v>53</v>
      </c>
      <c r="AD291" s="257">
        <v>66</v>
      </c>
      <c r="AE291" s="257">
        <v>876.9</v>
      </c>
      <c r="AF291" s="257">
        <v>866</v>
      </c>
      <c r="AG291" s="257">
        <v>121</v>
      </c>
      <c r="AH291" s="257" t="s">
        <v>2032</v>
      </c>
      <c r="AI291" s="257">
        <v>-1.9</v>
      </c>
      <c r="AJ291" s="257">
        <v>139</v>
      </c>
      <c r="AK291" s="257" t="s">
        <v>2033</v>
      </c>
      <c r="AL291" s="257">
        <v>-0.7</v>
      </c>
      <c r="AM291" s="257">
        <v>39.9</v>
      </c>
      <c r="AN291" s="270">
        <v>-23.6</v>
      </c>
    </row>
    <row r="292" ht="20.2" customHeight="1" spans="1:40">
      <c r="A292" s="372"/>
      <c r="B292" s="361">
        <v>8</v>
      </c>
      <c r="C292" s="357" t="s">
        <v>2034</v>
      </c>
      <c r="D292" s="358" t="s">
        <v>2035</v>
      </c>
      <c r="E292" s="257" t="s">
        <v>353</v>
      </c>
      <c r="F292" s="257" t="s">
        <v>2036</v>
      </c>
      <c r="G292" s="257">
        <v>662.5</v>
      </c>
      <c r="H292" s="257" t="s">
        <v>47</v>
      </c>
      <c r="I292" s="257">
        <v>9</v>
      </c>
      <c r="J292" s="257">
        <v>-16.9</v>
      </c>
      <c r="K292" s="257">
        <v>-8.8</v>
      </c>
      <c r="L292" s="257">
        <v>-21.5</v>
      </c>
      <c r="M292" s="257">
        <v>78</v>
      </c>
      <c r="N292" s="257">
        <v>32.9</v>
      </c>
      <c r="O292" s="257">
        <v>21.3</v>
      </c>
      <c r="P292" s="257">
        <v>27.2</v>
      </c>
      <c r="Q292" s="257">
        <v>45</v>
      </c>
      <c r="R292" s="257">
        <v>26.3</v>
      </c>
      <c r="S292" s="257">
        <v>2</v>
      </c>
      <c r="T292" s="257" t="s">
        <v>90</v>
      </c>
      <c r="U292" s="257" t="s">
        <v>2037</v>
      </c>
      <c r="V292" s="257">
        <v>2.3</v>
      </c>
      <c r="W292" s="257">
        <v>1.3</v>
      </c>
      <c r="X292" s="257" t="s">
        <v>497</v>
      </c>
      <c r="Y292" s="257" t="s">
        <v>2038</v>
      </c>
      <c r="Z292" s="257">
        <v>2</v>
      </c>
      <c r="AA292" s="257" t="s">
        <v>90</v>
      </c>
      <c r="AB292" s="257" t="s">
        <v>1040</v>
      </c>
      <c r="AC292" s="257">
        <v>56</v>
      </c>
      <c r="AD292" s="257">
        <v>60</v>
      </c>
      <c r="AE292" s="257">
        <v>947.4</v>
      </c>
      <c r="AF292" s="257">
        <v>934</v>
      </c>
      <c r="AG292" s="257">
        <v>141</v>
      </c>
      <c r="AH292" s="257" t="s">
        <v>2039</v>
      </c>
      <c r="AI292" s="257">
        <v>-3.9</v>
      </c>
      <c r="AJ292" s="257">
        <v>161</v>
      </c>
      <c r="AK292" s="257" t="s">
        <v>2040</v>
      </c>
      <c r="AL292" s="257">
        <v>-2.6</v>
      </c>
      <c r="AM292" s="257">
        <v>39.2</v>
      </c>
      <c r="AN292" s="270">
        <v>-36</v>
      </c>
    </row>
    <row r="293" ht="20.2" customHeight="1" spans="1:40">
      <c r="A293" s="372"/>
      <c r="B293" s="361">
        <v>9</v>
      </c>
      <c r="C293" s="357" t="s">
        <v>2041</v>
      </c>
      <c r="D293" s="358" t="s">
        <v>2042</v>
      </c>
      <c r="E293" s="257" t="s">
        <v>2043</v>
      </c>
      <c r="F293" s="257" t="s">
        <v>2044</v>
      </c>
      <c r="G293" s="257">
        <v>931.5</v>
      </c>
      <c r="H293" s="257" t="s">
        <v>47</v>
      </c>
      <c r="I293" s="257">
        <v>11.7</v>
      </c>
      <c r="J293" s="257">
        <v>-11.1</v>
      </c>
      <c r="K293" s="257">
        <v>-7</v>
      </c>
      <c r="L293" s="257">
        <v>-15.3</v>
      </c>
      <c r="M293" s="257">
        <v>63</v>
      </c>
      <c r="N293" s="257">
        <v>34.5</v>
      </c>
      <c r="O293" s="257">
        <v>22.1</v>
      </c>
      <c r="P293" s="257">
        <v>30</v>
      </c>
      <c r="Q293" s="257">
        <v>33</v>
      </c>
      <c r="R293" s="257">
        <v>30.6</v>
      </c>
      <c r="S293" s="257">
        <v>2.6</v>
      </c>
      <c r="T293" s="257" t="s">
        <v>198</v>
      </c>
      <c r="U293" s="257" t="s">
        <v>2045</v>
      </c>
      <c r="V293" s="257">
        <v>4.6</v>
      </c>
      <c r="W293" s="257">
        <v>1.8</v>
      </c>
      <c r="X293" s="257" t="s">
        <v>497</v>
      </c>
      <c r="Y293" s="257" t="s">
        <v>2046</v>
      </c>
      <c r="Z293" s="257">
        <v>3.2</v>
      </c>
      <c r="AA293" s="257" t="s">
        <v>497</v>
      </c>
      <c r="AB293" s="257" t="s">
        <v>1346</v>
      </c>
      <c r="AC293" s="257">
        <v>62</v>
      </c>
      <c r="AD293" s="257">
        <v>58</v>
      </c>
      <c r="AE293" s="257">
        <v>917.6</v>
      </c>
      <c r="AF293" s="257">
        <v>902.3</v>
      </c>
      <c r="AG293" s="257">
        <v>127</v>
      </c>
      <c r="AH293" s="257" t="s">
        <v>2047</v>
      </c>
      <c r="AI293" s="257">
        <v>-2.9</v>
      </c>
      <c r="AJ293" s="257">
        <v>150</v>
      </c>
      <c r="AK293" s="257" t="s">
        <v>2048</v>
      </c>
      <c r="AL293" s="257">
        <v>-1.4</v>
      </c>
      <c r="AM293" s="257">
        <v>40</v>
      </c>
      <c r="AN293" s="270">
        <v>-25.3</v>
      </c>
    </row>
    <row r="294" ht="20.2" customHeight="1" spans="1:40">
      <c r="A294" s="372"/>
      <c r="B294" s="361">
        <v>10</v>
      </c>
      <c r="C294" s="357" t="s">
        <v>2049</v>
      </c>
      <c r="D294" s="358" t="s">
        <v>2050</v>
      </c>
      <c r="E294" s="257" t="s">
        <v>2051</v>
      </c>
      <c r="F294" s="257" t="s">
        <v>2052</v>
      </c>
      <c r="G294" s="257">
        <v>793.5</v>
      </c>
      <c r="H294" s="257" t="s">
        <v>47</v>
      </c>
      <c r="I294" s="257">
        <v>5.2</v>
      </c>
      <c r="J294" s="257">
        <v>-24</v>
      </c>
      <c r="K294" s="257">
        <v>-17</v>
      </c>
      <c r="L294" s="257">
        <v>-28.2</v>
      </c>
      <c r="M294" s="257">
        <v>79</v>
      </c>
      <c r="N294" s="257">
        <v>33.5</v>
      </c>
      <c r="O294" s="257">
        <v>19.5</v>
      </c>
      <c r="P294" s="257">
        <v>27.9</v>
      </c>
      <c r="Q294" s="257">
        <v>34</v>
      </c>
      <c r="R294" s="257">
        <v>28.2</v>
      </c>
      <c r="S294" s="257">
        <v>3.5</v>
      </c>
      <c r="T294" s="257" t="s">
        <v>296</v>
      </c>
      <c r="U294" s="257">
        <v>18</v>
      </c>
      <c r="V294" s="257">
        <v>3.5</v>
      </c>
      <c r="W294" s="257">
        <v>2.5</v>
      </c>
      <c r="X294" s="257" t="s">
        <v>296</v>
      </c>
      <c r="Y294" s="257">
        <v>19</v>
      </c>
      <c r="Z294" s="257">
        <v>2.9</v>
      </c>
      <c r="AA294" s="257" t="s">
        <v>296</v>
      </c>
      <c r="AB294" s="257">
        <v>17</v>
      </c>
      <c r="AC294" s="257">
        <v>60</v>
      </c>
      <c r="AD294" s="257">
        <v>136</v>
      </c>
      <c r="AE294" s="257">
        <v>934.1</v>
      </c>
      <c r="AF294" s="257">
        <v>919.4</v>
      </c>
      <c r="AG294" s="257">
        <v>164</v>
      </c>
      <c r="AH294" s="257" t="s">
        <v>2053</v>
      </c>
      <c r="AI294" s="257">
        <v>-9.5</v>
      </c>
      <c r="AJ294" s="257">
        <v>187</v>
      </c>
      <c r="AK294" s="257" t="s">
        <v>2054</v>
      </c>
      <c r="AL294" s="257">
        <v>-7.4</v>
      </c>
      <c r="AM294" s="257">
        <v>40.5</v>
      </c>
      <c r="AN294" s="270">
        <v>-40.1</v>
      </c>
    </row>
    <row r="295" ht="20.2" customHeight="1" spans="1:40">
      <c r="A295" s="372"/>
      <c r="B295" s="361">
        <v>11</v>
      </c>
      <c r="C295" s="357" t="s">
        <v>2055</v>
      </c>
      <c r="D295" s="358" t="s">
        <v>2056</v>
      </c>
      <c r="E295" s="257" t="s">
        <v>2057</v>
      </c>
      <c r="F295" s="257" t="s">
        <v>2058</v>
      </c>
      <c r="G295" s="257">
        <v>320.1</v>
      </c>
      <c r="H295" s="257" t="s">
        <v>47</v>
      </c>
      <c r="I295" s="257">
        <v>7.8</v>
      </c>
      <c r="J295" s="257">
        <v>-22.2</v>
      </c>
      <c r="K295" s="257">
        <v>-15.2</v>
      </c>
      <c r="L295" s="257">
        <v>-25.8</v>
      </c>
      <c r="M295" s="257">
        <v>81</v>
      </c>
      <c r="N295" s="257">
        <v>34.8</v>
      </c>
      <c r="O295" s="257" t="s">
        <v>2059</v>
      </c>
      <c r="P295" s="257">
        <v>30</v>
      </c>
      <c r="Q295" s="257">
        <v>39</v>
      </c>
      <c r="R295" s="257">
        <v>28.7</v>
      </c>
      <c r="S295" s="257">
        <v>1.7</v>
      </c>
      <c r="T295" s="257" t="s">
        <v>130</v>
      </c>
      <c r="U295" s="257" t="s">
        <v>1040</v>
      </c>
      <c r="V295" s="257">
        <v>2</v>
      </c>
      <c r="W295" s="257">
        <v>1</v>
      </c>
      <c r="X295" s="257" t="s">
        <v>130</v>
      </c>
      <c r="Y295" s="257" t="s">
        <v>2060</v>
      </c>
      <c r="Z295" s="257">
        <v>1.6</v>
      </c>
      <c r="AA295" s="257" t="s">
        <v>130</v>
      </c>
      <c r="AB295" s="257" t="s">
        <v>2061</v>
      </c>
      <c r="AC295" s="257">
        <v>43</v>
      </c>
      <c r="AD295" s="257">
        <v>141</v>
      </c>
      <c r="AE295" s="257">
        <v>994.1</v>
      </c>
      <c r="AF295" s="257">
        <v>971.2</v>
      </c>
      <c r="AG295" s="257">
        <v>152</v>
      </c>
      <c r="AH295" s="257" t="s">
        <v>2062</v>
      </c>
      <c r="AI295" s="257">
        <v>-7.7</v>
      </c>
      <c r="AJ295" s="257">
        <v>170</v>
      </c>
      <c r="AK295" s="257" t="s">
        <v>2063</v>
      </c>
      <c r="AL295" s="257">
        <v>-6.2</v>
      </c>
      <c r="AM295" s="257">
        <v>41.6</v>
      </c>
      <c r="AN295" s="270">
        <v>-33.8</v>
      </c>
    </row>
    <row r="296" ht="20.2" customHeight="1" spans="1:40">
      <c r="A296" s="372"/>
      <c r="B296" s="361">
        <v>12</v>
      </c>
      <c r="C296" s="357" t="s">
        <v>2064</v>
      </c>
      <c r="D296" s="358" t="s">
        <v>2065</v>
      </c>
      <c r="E296" s="257" t="s">
        <v>2066</v>
      </c>
      <c r="F296" s="257" t="s">
        <v>2067</v>
      </c>
      <c r="G296" s="257">
        <v>1103.8</v>
      </c>
      <c r="H296" s="257" t="s">
        <v>47</v>
      </c>
      <c r="I296" s="257">
        <v>10.3</v>
      </c>
      <c r="J296" s="257">
        <v>-12.5</v>
      </c>
      <c r="K296" s="257">
        <v>-7.8</v>
      </c>
      <c r="L296" s="257">
        <v>-16.2</v>
      </c>
      <c r="M296" s="257">
        <v>69</v>
      </c>
      <c r="N296" s="257">
        <v>32.7</v>
      </c>
      <c r="O296" s="257" t="s">
        <v>2068</v>
      </c>
      <c r="P296" s="257">
        <v>28.4</v>
      </c>
      <c r="Q296" s="257">
        <v>39</v>
      </c>
      <c r="R296" s="257">
        <v>27.1</v>
      </c>
      <c r="S296" s="257">
        <v>1.7</v>
      </c>
      <c r="T296" s="257" t="s">
        <v>202</v>
      </c>
      <c r="U296" s="257" t="s">
        <v>2069</v>
      </c>
      <c r="V296" s="257">
        <v>2.3</v>
      </c>
      <c r="W296" s="257">
        <v>1.2</v>
      </c>
      <c r="X296" s="257" t="s">
        <v>80</v>
      </c>
      <c r="Y296" s="257" t="s">
        <v>832</v>
      </c>
      <c r="Z296" s="257">
        <v>1.6</v>
      </c>
      <c r="AA296" s="257" t="s">
        <v>80</v>
      </c>
      <c r="AB296" s="257" t="s">
        <v>830</v>
      </c>
      <c r="AC296" s="257">
        <v>61</v>
      </c>
      <c r="AD296" s="257">
        <v>80</v>
      </c>
      <c r="AE296" s="257">
        <v>897.3</v>
      </c>
      <c r="AF296" s="257">
        <v>884.3</v>
      </c>
      <c r="AG296" s="257">
        <v>124</v>
      </c>
      <c r="AH296" s="257" t="s">
        <v>2070</v>
      </c>
      <c r="AI296" s="257">
        <v>-3.5</v>
      </c>
      <c r="AJ296" s="257">
        <v>137</v>
      </c>
      <c r="AK296" s="257" t="s">
        <v>2071</v>
      </c>
      <c r="AL296" s="257">
        <v>-1.8</v>
      </c>
      <c r="AM296" s="257">
        <v>39.6</v>
      </c>
      <c r="AN296" s="270">
        <v>-25.2</v>
      </c>
    </row>
    <row r="297" ht="20.2" customHeight="1" spans="1:40">
      <c r="A297" s="372"/>
      <c r="B297" s="361">
        <v>13</v>
      </c>
      <c r="C297" s="357" t="s">
        <v>2072</v>
      </c>
      <c r="D297" s="358" t="s">
        <v>2073</v>
      </c>
      <c r="E297" s="257" t="s">
        <v>2074</v>
      </c>
      <c r="F297" s="257" t="s">
        <v>2075</v>
      </c>
      <c r="G297" s="257">
        <v>534.9</v>
      </c>
      <c r="H297" s="257" t="s">
        <v>47</v>
      </c>
      <c r="I297" s="257">
        <v>7.1</v>
      </c>
      <c r="J297" s="257">
        <v>-19.2</v>
      </c>
      <c r="K297" s="257">
        <v>-10.5</v>
      </c>
      <c r="L297" s="257">
        <v>-24.7</v>
      </c>
      <c r="M297" s="257">
        <v>72</v>
      </c>
      <c r="N297" s="257">
        <v>33.6</v>
      </c>
      <c r="O297" s="257" t="s">
        <v>2076</v>
      </c>
      <c r="P297" s="257">
        <v>27.5</v>
      </c>
      <c r="Q297" s="257">
        <v>39</v>
      </c>
      <c r="R297" s="257">
        <v>26.9</v>
      </c>
      <c r="S297" s="257">
        <v>2.2</v>
      </c>
      <c r="T297" s="257" t="s">
        <v>123</v>
      </c>
      <c r="U297" s="257">
        <v>16</v>
      </c>
      <c r="V297" s="257">
        <v>2.2</v>
      </c>
      <c r="W297" s="257">
        <v>2</v>
      </c>
      <c r="X297" s="257" t="s">
        <v>80</v>
      </c>
      <c r="Y297" s="257" t="s">
        <v>2077</v>
      </c>
      <c r="Z297" s="257">
        <v>2.1</v>
      </c>
      <c r="AA297" s="257" t="s">
        <v>369</v>
      </c>
      <c r="AB297" s="257">
        <v>17</v>
      </c>
      <c r="AC297" s="257">
        <v>57</v>
      </c>
      <c r="AD297" s="257">
        <v>160</v>
      </c>
      <c r="AE297" s="257">
        <v>963.2</v>
      </c>
      <c r="AF297" s="257">
        <v>947.5</v>
      </c>
      <c r="AG297" s="257">
        <v>162</v>
      </c>
      <c r="AH297" s="257" t="s">
        <v>2078</v>
      </c>
      <c r="AI297" s="257">
        <v>-5.4</v>
      </c>
      <c r="AJ297" s="257">
        <v>182</v>
      </c>
      <c r="AK297" s="257" t="s">
        <v>280</v>
      </c>
      <c r="AL297" s="257">
        <v>-4.1</v>
      </c>
      <c r="AM297" s="257">
        <v>41.3</v>
      </c>
      <c r="AN297" s="270">
        <v>-37.1</v>
      </c>
    </row>
    <row r="298" s="303" customFormat="1" ht="20.2" customHeight="1" spans="1:40">
      <c r="A298" s="372"/>
      <c r="B298" s="471">
        <v>14</v>
      </c>
      <c r="C298" s="472" t="s">
        <v>2079</v>
      </c>
      <c r="D298" s="471" t="s">
        <v>2080</v>
      </c>
      <c r="E298" s="471" t="s">
        <v>2081</v>
      </c>
      <c r="F298" s="471" t="s">
        <v>2082</v>
      </c>
      <c r="G298" s="471">
        <v>2175.7</v>
      </c>
      <c r="H298" s="471" t="s">
        <v>47</v>
      </c>
      <c r="I298" s="471">
        <v>7.3</v>
      </c>
      <c r="J298" s="471">
        <v>-14.1</v>
      </c>
      <c r="K298" s="471">
        <v>-8.2</v>
      </c>
      <c r="L298" s="471">
        <v>-17.9</v>
      </c>
      <c r="M298" s="471">
        <v>59</v>
      </c>
      <c r="N298" s="471">
        <v>28.8</v>
      </c>
      <c r="O298" s="471" t="s">
        <v>2083</v>
      </c>
      <c r="P298" s="471">
        <v>23.6</v>
      </c>
      <c r="Q298" s="471">
        <v>27</v>
      </c>
      <c r="R298" s="471">
        <v>24.3</v>
      </c>
      <c r="S298" s="471">
        <v>3.1</v>
      </c>
      <c r="T298" s="471" t="s">
        <v>92</v>
      </c>
      <c r="U298" s="471" t="s">
        <v>403</v>
      </c>
      <c r="V298" s="471">
        <v>5</v>
      </c>
      <c r="W298" s="471">
        <v>1.4</v>
      </c>
      <c r="X298" s="471" t="s">
        <v>92</v>
      </c>
      <c r="Y298" s="471" t="s">
        <v>1628</v>
      </c>
      <c r="Z298" s="471">
        <v>5.9</v>
      </c>
      <c r="AA298" s="471" t="s">
        <v>144</v>
      </c>
      <c r="AB298" s="471" t="s">
        <v>1341</v>
      </c>
      <c r="AC298" s="471">
        <v>62</v>
      </c>
      <c r="AD298" s="471">
        <v>650</v>
      </c>
      <c r="AE298" s="471">
        <v>786.2</v>
      </c>
      <c r="AF298" s="471">
        <v>784.3</v>
      </c>
      <c r="AG298" s="471">
        <v>153</v>
      </c>
      <c r="AH298" s="471" t="s">
        <v>1777</v>
      </c>
      <c r="AI298" s="471">
        <v>-3.6</v>
      </c>
      <c r="AJ298" s="471">
        <v>182</v>
      </c>
      <c r="AK298" s="471" t="s">
        <v>280</v>
      </c>
      <c r="AL298" s="471">
        <v>-1.9</v>
      </c>
      <c r="AM298" s="471">
        <v>35.7</v>
      </c>
      <c r="AN298" s="473">
        <v>-29.9</v>
      </c>
    </row>
    <row r="299" s="310" customFormat="1" ht="20.2" customHeight="1" spans="1:40">
      <c r="A299" s="474" t="s">
        <v>2084</v>
      </c>
      <c r="B299" s="475"/>
      <c r="C299" s="475"/>
      <c r="D299" s="475"/>
      <c r="E299" s="475"/>
      <c r="F299" s="475"/>
      <c r="G299" s="475"/>
      <c r="H299" s="475"/>
      <c r="I299" s="475"/>
      <c r="J299" s="475"/>
      <c r="K299" s="475"/>
      <c r="L299" s="475"/>
      <c r="M299" s="475"/>
      <c r="N299" s="475"/>
      <c r="O299" s="475"/>
      <c r="P299" s="475"/>
      <c r="Q299" s="475"/>
      <c r="R299" s="475"/>
      <c r="S299" s="475"/>
      <c r="T299" s="475"/>
      <c r="U299" s="475"/>
      <c r="V299" s="475"/>
      <c r="W299" s="475"/>
      <c r="X299" s="475"/>
      <c r="Y299" s="475"/>
      <c r="Z299" s="475"/>
      <c r="AA299" s="475"/>
      <c r="AB299" s="475"/>
      <c r="AC299" s="475"/>
      <c r="AD299" s="475"/>
      <c r="AE299" s="475"/>
      <c r="AF299" s="475"/>
      <c r="AG299" s="475"/>
      <c r="AH299" s="475"/>
      <c r="AI299" s="475"/>
      <c r="AJ299" s="475"/>
      <c r="AK299" s="475"/>
      <c r="AL299" s="475"/>
      <c r="AM299" s="475"/>
      <c r="AN299" s="475"/>
    </row>
    <row r="300" s="302" customFormat="1" ht="20.2" customHeight="1" spans="1:40">
      <c r="A300" s="360" t="s">
        <v>2085</v>
      </c>
      <c r="B300" s="353">
        <v>1</v>
      </c>
      <c r="C300" s="476" t="s">
        <v>2086</v>
      </c>
      <c r="D300" s="353"/>
      <c r="E300" s="353" t="s">
        <v>2087</v>
      </c>
      <c r="F300" s="353" t="s">
        <v>2088</v>
      </c>
      <c r="G300" s="477">
        <v>9</v>
      </c>
      <c r="H300" s="477" t="s">
        <v>2089</v>
      </c>
      <c r="I300" s="353">
        <v>22.1</v>
      </c>
      <c r="J300" s="353">
        <v>11</v>
      </c>
      <c r="K300" s="353">
        <v>15</v>
      </c>
      <c r="L300" s="353">
        <v>9</v>
      </c>
      <c r="M300" s="353">
        <v>82</v>
      </c>
      <c r="N300" s="353">
        <v>33.6</v>
      </c>
      <c r="O300" s="353">
        <v>27.3</v>
      </c>
      <c r="P300" s="353">
        <v>31</v>
      </c>
      <c r="Q300" s="353" t="s">
        <v>577</v>
      </c>
      <c r="R300" s="353">
        <v>30.5</v>
      </c>
      <c r="S300" s="353">
        <v>2.8</v>
      </c>
      <c r="T300" s="353" t="s">
        <v>497</v>
      </c>
      <c r="U300" s="353" t="s">
        <v>357</v>
      </c>
      <c r="V300" s="353" t="s">
        <v>577</v>
      </c>
      <c r="W300" s="353">
        <v>3.7</v>
      </c>
      <c r="X300" s="353" t="s">
        <v>622</v>
      </c>
      <c r="Y300" s="353">
        <v>29</v>
      </c>
      <c r="Z300" s="353" t="s">
        <v>577</v>
      </c>
      <c r="AA300" s="353" t="s">
        <v>622</v>
      </c>
      <c r="AB300" s="353">
        <v>24</v>
      </c>
      <c r="AC300" s="353" t="s">
        <v>577</v>
      </c>
      <c r="AD300" s="353" t="s">
        <v>577</v>
      </c>
      <c r="AE300" s="353">
        <v>1019.7</v>
      </c>
      <c r="AF300" s="353">
        <v>1005.3</v>
      </c>
      <c r="AG300" s="353">
        <v>0</v>
      </c>
      <c r="AH300" s="353">
        <v>0</v>
      </c>
      <c r="AI300" s="353" t="s">
        <v>577</v>
      </c>
      <c r="AJ300" s="353" t="s">
        <v>577</v>
      </c>
      <c r="AK300" s="353" t="s">
        <v>577</v>
      </c>
      <c r="AL300" s="353" t="s">
        <v>577</v>
      </c>
      <c r="AM300" s="353">
        <v>33</v>
      </c>
      <c r="AN300" s="352">
        <v>-2</v>
      </c>
    </row>
    <row r="301" s="298" customFormat="1" ht="20.2" customHeight="1" spans="1:40">
      <c r="A301" s="239"/>
      <c r="B301" s="390">
        <v>2</v>
      </c>
      <c r="C301" s="440" t="s">
        <v>2090</v>
      </c>
      <c r="D301" s="390"/>
      <c r="E301" s="390" t="s">
        <v>1674</v>
      </c>
      <c r="F301" s="390" t="s">
        <v>2091</v>
      </c>
      <c r="G301" s="398">
        <v>14</v>
      </c>
      <c r="H301" s="398" t="s">
        <v>2089</v>
      </c>
      <c r="I301" s="390">
        <v>22.9</v>
      </c>
      <c r="J301" s="390">
        <v>13</v>
      </c>
      <c r="K301" s="390">
        <v>17</v>
      </c>
      <c r="L301" s="390">
        <v>11</v>
      </c>
      <c r="M301" s="390">
        <v>82</v>
      </c>
      <c r="N301" s="390">
        <v>32</v>
      </c>
      <c r="O301" s="390">
        <v>26.8</v>
      </c>
      <c r="P301" s="390">
        <v>30</v>
      </c>
      <c r="Q301" s="390" t="s">
        <v>577</v>
      </c>
      <c r="R301" s="390">
        <v>29.5</v>
      </c>
      <c r="S301" s="390">
        <v>2</v>
      </c>
      <c r="T301" s="390" t="s">
        <v>52</v>
      </c>
      <c r="U301" s="390" t="s">
        <v>1048</v>
      </c>
      <c r="V301" s="390" t="s">
        <v>577</v>
      </c>
      <c r="W301" s="390">
        <v>2.9</v>
      </c>
      <c r="X301" s="390" t="s">
        <v>855</v>
      </c>
      <c r="Y301" s="390" t="s">
        <v>2092</v>
      </c>
      <c r="Z301" s="390" t="s">
        <v>577</v>
      </c>
      <c r="AA301" s="390" t="s">
        <v>855</v>
      </c>
      <c r="AB301" s="390" t="s">
        <v>2093</v>
      </c>
      <c r="AC301" s="390" t="s">
        <v>577</v>
      </c>
      <c r="AD301" s="390" t="s">
        <v>577</v>
      </c>
      <c r="AE301" s="390">
        <v>1017.8</v>
      </c>
      <c r="AF301" s="390">
        <v>1004.6</v>
      </c>
      <c r="AG301" s="390">
        <v>0</v>
      </c>
      <c r="AH301" s="390">
        <v>0</v>
      </c>
      <c r="AI301" s="390" t="s">
        <v>577</v>
      </c>
      <c r="AJ301" s="390" t="s">
        <v>577</v>
      </c>
      <c r="AK301" s="390" t="s">
        <v>577</v>
      </c>
      <c r="AL301" s="390" t="s">
        <v>577</v>
      </c>
      <c r="AM301" s="390">
        <v>35</v>
      </c>
      <c r="AN301" s="391">
        <v>5</v>
      </c>
    </row>
    <row r="302" s="308" customFormat="1" ht="20.2" customHeight="1" spans="1:40">
      <c r="A302" s="478"/>
      <c r="B302" s="479">
        <v>3</v>
      </c>
      <c r="C302" s="480" t="s">
        <v>2094</v>
      </c>
      <c r="D302" s="481"/>
      <c r="E302" s="456" t="s">
        <v>1636</v>
      </c>
      <c r="F302" s="456" t="s">
        <v>2095</v>
      </c>
      <c r="G302" s="482">
        <v>24</v>
      </c>
      <c r="H302" s="482" t="s">
        <v>2089</v>
      </c>
      <c r="I302" s="483">
        <v>24.9</v>
      </c>
      <c r="J302" s="483">
        <v>16</v>
      </c>
      <c r="K302" s="483">
        <v>20</v>
      </c>
      <c r="L302" s="483">
        <v>14</v>
      </c>
      <c r="M302" s="483">
        <v>74</v>
      </c>
      <c r="N302" s="483">
        <v>34</v>
      </c>
      <c r="O302" s="483">
        <v>28.1</v>
      </c>
      <c r="P302" s="483">
        <v>31</v>
      </c>
      <c r="Q302" s="483" t="s">
        <v>577</v>
      </c>
      <c r="R302" s="483">
        <v>29.4</v>
      </c>
      <c r="S302" s="483">
        <v>3.2</v>
      </c>
      <c r="T302" s="483" t="s">
        <v>731</v>
      </c>
      <c r="U302" s="483" t="s">
        <v>91</v>
      </c>
      <c r="V302" s="483" t="s">
        <v>577</v>
      </c>
      <c r="W302" s="483">
        <v>5.1</v>
      </c>
      <c r="X302" s="483" t="s">
        <v>262</v>
      </c>
      <c r="Y302" s="483">
        <v>37</v>
      </c>
      <c r="Z302" s="483" t="s">
        <v>577</v>
      </c>
      <c r="AA302" s="483" t="s">
        <v>262</v>
      </c>
      <c r="AB302" s="483">
        <v>27</v>
      </c>
      <c r="AC302" s="483" t="s">
        <v>577</v>
      </c>
      <c r="AD302" s="483" t="s">
        <v>577</v>
      </c>
      <c r="AE302" s="481">
        <v>1014.4</v>
      </c>
      <c r="AF302" s="456">
        <v>1003.7</v>
      </c>
      <c r="AG302" s="483">
        <v>0</v>
      </c>
      <c r="AH302" s="483">
        <v>0</v>
      </c>
      <c r="AI302" s="483" t="s">
        <v>577</v>
      </c>
      <c r="AJ302" s="483" t="s">
        <v>577</v>
      </c>
      <c r="AK302" s="483" t="s">
        <v>577</v>
      </c>
      <c r="AL302" s="483" t="s">
        <v>577</v>
      </c>
      <c r="AM302" s="483">
        <v>39</v>
      </c>
      <c r="AN302" s="458">
        <v>8</v>
      </c>
    </row>
    <row r="303" s="288" customFormat="1" ht="20.2" customHeight="1" spans="1:40">
      <c r="A303" s="484" t="s">
        <v>2096</v>
      </c>
      <c r="B303" s="358">
        <v>1</v>
      </c>
      <c r="C303" s="357" t="s">
        <v>2097</v>
      </c>
      <c r="D303" s="358"/>
      <c r="E303" s="358" t="s">
        <v>2098</v>
      </c>
      <c r="F303" s="358" t="s">
        <v>2099</v>
      </c>
      <c r="G303" s="465">
        <v>32</v>
      </c>
      <c r="H303" s="465" t="s">
        <v>2100</v>
      </c>
      <c r="I303" s="358">
        <v>22.8</v>
      </c>
      <c r="J303" s="358">
        <v>10</v>
      </c>
      <c r="K303" s="358">
        <v>16</v>
      </c>
      <c r="L303" s="358">
        <v>8</v>
      </c>
      <c r="M303" s="358">
        <v>71</v>
      </c>
      <c r="N303" s="358">
        <v>32.4</v>
      </c>
      <c r="O303" s="358">
        <v>27.3</v>
      </c>
      <c r="P303" s="358">
        <v>31</v>
      </c>
      <c r="Q303" s="358" t="s">
        <v>577</v>
      </c>
      <c r="R303" s="358">
        <v>30</v>
      </c>
      <c r="S303" s="358">
        <v>5.3</v>
      </c>
      <c r="T303" s="358" t="s">
        <v>622</v>
      </c>
      <c r="U303" s="358">
        <v>25</v>
      </c>
      <c r="V303" s="358" t="s">
        <v>577</v>
      </c>
      <c r="W303" s="358">
        <v>6.5</v>
      </c>
      <c r="X303" s="358" t="s">
        <v>622</v>
      </c>
      <c r="Y303" s="358">
        <v>42</v>
      </c>
      <c r="Z303" s="358" t="s">
        <v>577</v>
      </c>
      <c r="AA303" s="358" t="s">
        <v>622</v>
      </c>
      <c r="AB303" s="358">
        <v>39</v>
      </c>
      <c r="AC303" s="358">
        <v>44</v>
      </c>
      <c r="AD303" s="358" t="s">
        <v>577</v>
      </c>
      <c r="AE303" s="358">
        <v>1019.5</v>
      </c>
      <c r="AF303" s="358">
        <v>1005.6</v>
      </c>
      <c r="AG303" s="358">
        <v>0</v>
      </c>
      <c r="AH303" s="358">
        <v>0</v>
      </c>
      <c r="AI303" s="358"/>
      <c r="AJ303" s="358" t="s">
        <v>577</v>
      </c>
      <c r="AK303" s="358" t="s">
        <v>577</v>
      </c>
      <c r="AL303" s="358" t="s">
        <v>577</v>
      </c>
      <c r="AM303" s="358">
        <v>36.1</v>
      </c>
      <c r="AN303" s="359">
        <v>0</v>
      </c>
    </row>
    <row r="306" customHeight="1" spans="1:38">
      <c r="D306" s="485" t="s">
        <v>2101</v>
      </c>
      <c r="E306" s="485"/>
      <c r="F306" s="485"/>
      <c r="G306" s="485"/>
      <c r="H306" s="485"/>
      <c r="I306" s="485"/>
      <c r="J306" s="485"/>
      <c r="K306" s="485"/>
      <c r="L306" s="485"/>
      <c r="M306" s="485"/>
      <c r="N306" s="485"/>
    </row>
    <row r="307" customHeight="1" spans="1:38">
      <c r="A307" s="486"/>
      <c r="B307" s="487"/>
      <c r="C307" s="486"/>
      <c r="D307" s="486"/>
      <c r="E307" s="486"/>
      <c r="F307" s="486"/>
      <c r="G307" s="486"/>
      <c r="H307" s="486"/>
      <c r="I307" s="486"/>
      <c r="J307" s="486"/>
      <c r="K307" s="486"/>
      <c r="L307" s="486"/>
      <c r="M307" s="486"/>
      <c r="N307" s="486"/>
      <c r="O307" s="486"/>
      <c r="P307" s="486"/>
      <c r="Q307" s="486"/>
      <c r="R307" s="486"/>
      <c r="S307" s="486"/>
      <c r="T307" s="486"/>
      <c r="U307" s="486"/>
      <c r="V307" s="486"/>
      <c r="W307" s="486"/>
      <c r="X307" s="486"/>
      <c r="Y307" s="486"/>
      <c r="Z307" s="486"/>
      <c r="AA307" s="486"/>
      <c r="AB307" s="486"/>
      <c r="AC307" s="486"/>
      <c r="AD307" s="486"/>
      <c r="AE307" s="486"/>
      <c r="AF307" s="486"/>
      <c r="AG307" s="486"/>
      <c r="AH307" s="486"/>
      <c r="AI307" s="486"/>
      <c r="AJ307" s="486"/>
      <c r="AK307" s="486"/>
      <c r="AL307" s="486"/>
    </row>
  </sheetData>
  <mergeCells count="67">
    <mergeCell ref="A1:AN1"/>
    <mergeCell ref="E2:G2"/>
    <mergeCell ref="J2:R2"/>
    <mergeCell ref="S2:AB2"/>
    <mergeCell ref="AE2:AF2"/>
    <mergeCell ref="AG2:AL2"/>
    <mergeCell ref="J3:M3"/>
    <mergeCell ref="N3:R3"/>
    <mergeCell ref="S3:V3"/>
    <mergeCell ref="W3:Z3"/>
    <mergeCell ref="A299:AN299"/>
    <mergeCell ref="D306:N306"/>
    <mergeCell ref="A2:A4"/>
    <mergeCell ref="A6:A7"/>
    <mergeCell ref="A8:A17"/>
    <mergeCell ref="A18:A27"/>
    <mergeCell ref="A28:A39"/>
    <mergeCell ref="A40:A51"/>
    <mergeCell ref="A52:A59"/>
    <mergeCell ref="A60:A71"/>
    <mergeCell ref="A73:A81"/>
    <mergeCell ref="A82:A91"/>
    <mergeCell ref="A92:A103"/>
    <mergeCell ref="A104:A110"/>
    <mergeCell ref="A111:A119"/>
    <mergeCell ref="A120:A133"/>
    <mergeCell ref="A134:A145"/>
    <mergeCell ref="A146:A156"/>
    <mergeCell ref="A157:A168"/>
    <mergeCell ref="A169:A183"/>
    <mergeCell ref="A184:A196"/>
    <mergeCell ref="A197:A198"/>
    <mergeCell ref="A199:A201"/>
    <mergeCell ref="A202:A217"/>
    <mergeCell ref="A218:A226"/>
    <mergeCell ref="A227:A242"/>
    <mergeCell ref="A243:A249"/>
    <mergeCell ref="A250:A258"/>
    <mergeCell ref="A259:A271"/>
    <mergeCell ref="A272:A279"/>
    <mergeCell ref="A280:A284"/>
    <mergeCell ref="A285:A298"/>
    <mergeCell ref="A300:A302"/>
    <mergeCell ref="C33:C34"/>
    <mergeCell ref="C38:C39"/>
    <mergeCell ref="C70:C71"/>
    <mergeCell ref="D2:D4"/>
    <mergeCell ref="E3:E4"/>
    <mergeCell ref="F3:F4"/>
    <mergeCell ref="G3:G4"/>
    <mergeCell ref="H2:H4"/>
    <mergeCell ref="I2:I4"/>
    <mergeCell ref="AA3:AA4"/>
    <mergeCell ref="AB3:AB4"/>
    <mergeCell ref="AC2:AC4"/>
    <mergeCell ref="AD2:AD4"/>
    <mergeCell ref="AE3:AE4"/>
    <mergeCell ref="AF3:AF4"/>
    <mergeCell ref="AG3:AG4"/>
    <mergeCell ref="AH3:AH4"/>
    <mergeCell ref="AI3:AI4"/>
    <mergeCell ref="AJ3:AJ4"/>
    <mergeCell ref="AK3:AK4"/>
    <mergeCell ref="AL3:AL4"/>
    <mergeCell ref="AM2:AM4"/>
    <mergeCell ref="AN2:AN4"/>
    <mergeCell ref="B2:C4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0"/>
  <sheetViews>
    <sheetView view="pageBreakPreview" zoomScale="115" zoomScaleNormal="100" topLeftCell="B1" workbookViewId="0">
      <pane xSplit="2" ySplit="7" topLeftCell="E20" activePane="bottomRight" state="frozen"/>
      <selection/>
      <selection pane="topRight"/>
      <selection pane="bottomLeft"/>
      <selection pane="bottomRight" activeCell="L36" sqref="L36"/>
    </sheetView>
  </sheetViews>
  <sheetFormatPr defaultColWidth="7.5" defaultRowHeight="15" customHeight="1"/>
  <cols>
    <col min="1" max="1" width="8.5" style="208" customWidth="1"/>
    <col min="2" max="2" width="4.56666666666667" style="208" customWidth="1"/>
    <col min="3" max="3" width="25.5666666666667" style="208" customWidth="1"/>
    <col min="4" max="4" width="12.3166666666667" style="208" customWidth="1"/>
    <col min="5" max="5" width="5.75" style="209" customWidth="1"/>
    <col min="6" max="6" width="4.75" style="208" customWidth="1"/>
    <col min="7" max="8" width="10.3166666666667" style="210" customWidth="1"/>
    <col min="9" max="9" width="3.56666666666667" style="208" customWidth="1"/>
    <col min="10" max="10" width="8.69166666666667" customWidth="1"/>
    <col min="11" max="11" width="7.5" style="208"/>
    <col min="12" max="12" width="7.5" style="211"/>
    <col min="13" max="16384" width="7.5" style="208"/>
  </cols>
  <sheetData>
    <row r="1" ht="21" customHeight="1" spans="1:12">
      <c r="B1" s="212" t="s">
        <v>2102</v>
      </c>
      <c r="L1" s="213"/>
    </row>
    <row r="2" ht="29" customHeight="1" spans="1:12">
      <c r="A2" s="214" t="s">
        <v>2103</v>
      </c>
      <c r="B2" s="215" t="s">
        <v>2104</v>
      </c>
      <c r="C2" s="215"/>
      <c r="D2" s="208" t="s">
        <v>2105</v>
      </c>
      <c r="E2" s="216"/>
      <c r="F2" s="217"/>
      <c r="G2" s="218"/>
      <c r="H2" s="219"/>
      <c r="I2" s="216"/>
      <c r="L2" s="220" t="s">
        <v>2106</v>
      </c>
    </row>
    <row r="3" ht="11.25" customHeight="1" spans="1:12">
      <c r="B3" s="221"/>
      <c r="C3" s="222" t="s">
        <v>2107</v>
      </c>
      <c r="D3" s="223"/>
      <c r="E3" s="224"/>
      <c r="F3" s="223"/>
      <c r="G3" s="225" t="s">
        <v>2108</v>
      </c>
      <c r="H3" s="225"/>
      <c r="I3" s="216"/>
      <c r="L3" s="220"/>
    </row>
    <row r="4" ht="6.75" customHeight="1" spans="1:12">
      <c r="A4" s="226"/>
      <c r="B4" s="227"/>
      <c r="C4" s="227"/>
      <c r="D4" s="228"/>
      <c r="E4" s="229"/>
      <c r="F4" s="228"/>
      <c r="G4" s="230"/>
      <c r="H4" s="230"/>
      <c r="L4" s="231"/>
    </row>
    <row r="5" customHeight="1" spans="1:12">
      <c r="A5" s="232" t="s">
        <v>2108</v>
      </c>
      <c r="B5" s="233" t="s">
        <v>2109</v>
      </c>
      <c r="C5" s="234" t="s">
        <v>2110</v>
      </c>
      <c r="D5" s="235" t="s">
        <v>2111</v>
      </c>
      <c r="E5" s="236" t="s">
        <v>2112</v>
      </c>
      <c r="F5" s="236" t="s">
        <v>2113</v>
      </c>
      <c r="G5" s="237">
        <f>L5</f>
        <v>0</v>
      </c>
      <c r="H5" s="238"/>
      <c r="L5" s="239"/>
    </row>
    <row r="6" customHeight="1" spans="1:12">
      <c r="A6" s="240"/>
      <c r="B6" s="241"/>
      <c r="C6" s="242" t="s">
        <v>2114</v>
      </c>
      <c r="D6" s="243"/>
      <c r="E6" s="244"/>
      <c r="F6" s="244"/>
      <c r="G6" s="237">
        <f t="shared" ref="G6:G44" si="0">L6</f>
        <v>5</v>
      </c>
      <c r="H6" s="245"/>
      <c r="L6" s="246">
        <v>5</v>
      </c>
    </row>
    <row r="7" customHeight="1" spans="1:12">
      <c r="A7" s="247"/>
      <c r="B7" s="248"/>
      <c r="C7" s="249" t="s">
        <v>2115</v>
      </c>
      <c r="D7" s="250" t="s">
        <v>2111</v>
      </c>
      <c r="E7" s="251" t="s">
        <v>2112</v>
      </c>
      <c r="F7" s="251" t="s">
        <v>2113</v>
      </c>
      <c r="G7" s="237" t="str">
        <f t="shared" si="0"/>
        <v>常州</v>
      </c>
      <c r="H7" s="252"/>
      <c r="L7" s="253" t="s">
        <v>625</v>
      </c>
    </row>
    <row r="8" customHeight="1" spans="1:12">
      <c r="A8" s="254" t="s">
        <v>2116</v>
      </c>
      <c r="B8" s="248"/>
      <c r="C8" s="249" t="s">
        <v>2117</v>
      </c>
      <c r="D8" s="250" t="s">
        <v>2118</v>
      </c>
      <c r="E8" s="251" t="s">
        <v>123</v>
      </c>
      <c r="F8" s="251" t="s">
        <v>2113</v>
      </c>
      <c r="G8" s="237" t="str">
        <f t="shared" si="0"/>
        <v>常州58343</v>
      </c>
      <c r="H8" s="252"/>
      <c r="L8" s="255" t="s">
        <v>626</v>
      </c>
    </row>
    <row r="9" customHeight="1" spans="1:12">
      <c r="A9" s="247"/>
      <c r="B9" s="248"/>
      <c r="C9" s="249" t="s">
        <v>15</v>
      </c>
      <c r="D9" s="250" t="s">
        <v>2119</v>
      </c>
      <c r="E9" s="251" t="s">
        <v>123</v>
      </c>
      <c r="F9" s="251" t="s">
        <v>2120</v>
      </c>
      <c r="G9" s="237" t="str">
        <f t="shared" si="0"/>
        <v>31°46′</v>
      </c>
      <c r="H9" s="256"/>
      <c r="L9" s="257" t="s">
        <v>627</v>
      </c>
    </row>
    <row r="10" customHeight="1" spans="1:12">
      <c r="A10" s="247"/>
      <c r="B10" s="248"/>
      <c r="C10" s="249" t="s">
        <v>16</v>
      </c>
      <c r="D10" s="250" t="s">
        <v>2121</v>
      </c>
      <c r="E10" s="251" t="s">
        <v>622</v>
      </c>
      <c r="F10" s="251" t="s">
        <v>2120</v>
      </c>
      <c r="G10" s="237" t="str">
        <f t="shared" si="0"/>
        <v>119°56′</v>
      </c>
      <c r="H10" s="256"/>
      <c r="L10" s="257" t="s">
        <v>628</v>
      </c>
    </row>
    <row r="11" customHeight="1" spans="1:12">
      <c r="A11" s="247"/>
      <c r="B11" s="248"/>
      <c r="C11" s="249" t="s">
        <v>2122</v>
      </c>
      <c r="D11" s="250" t="s">
        <v>2123</v>
      </c>
      <c r="E11" s="251" t="s">
        <v>2124</v>
      </c>
      <c r="F11" s="251" t="s">
        <v>2125</v>
      </c>
      <c r="G11" s="237">
        <f t="shared" si="0"/>
        <v>4.9</v>
      </c>
      <c r="H11" s="256"/>
      <c r="L11" s="257">
        <v>4.9</v>
      </c>
    </row>
    <row r="12" customHeight="1" spans="1:12">
      <c r="A12" s="247"/>
      <c r="B12" s="258"/>
      <c r="C12" s="249" t="s">
        <v>5</v>
      </c>
      <c r="D12" s="250" t="s">
        <v>2126</v>
      </c>
      <c r="E12" s="251" t="s">
        <v>2127</v>
      </c>
      <c r="F12" s="251" t="s">
        <v>2113</v>
      </c>
      <c r="G12" s="237" t="str">
        <f t="shared" si="0"/>
        <v>1971-2000</v>
      </c>
      <c r="H12" s="256"/>
      <c r="L12" s="257" t="s">
        <v>47</v>
      </c>
    </row>
    <row r="13" customHeight="1" spans="1:12">
      <c r="A13" s="254" t="s">
        <v>2128</v>
      </c>
      <c r="B13" s="249" t="s">
        <v>2129</v>
      </c>
      <c r="C13" s="249" t="s">
        <v>2130</v>
      </c>
      <c r="D13" s="259" t="s">
        <v>2131</v>
      </c>
      <c r="E13" s="251" t="s">
        <v>2132</v>
      </c>
      <c r="F13" s="260" t="s">
        <v>2133</v>
      </c>
      <c r="G13" s="237">
        <f t="shared" si="0"/>
        <v>15.8</v>
      </c>
      <c r="H13" s="256"/>
      <c r="L13" s="261">
        <v>15.8</v>
      </c>
    </row>
    <row r="14" customHeight="1" spans="1:12">
      <c r="A14" s="262"/>
      <c r="B14" s="263" t="s">
        <v>18</v>
      </c>
      <c r="C14" s="249" t="s">
        <v>2134</v>
      </c>
      <c r="D14" s="259" t="s">
        <v>2135</v>
      </c>
      <c r="E14" s="251" t="s">
        <v>2136</v>
      </c>
      <c r="F14" s="251" t="s">
        <v>2133</v>
      </c>
      <c r="G14" s="237">
        <f t="shared" si="0"/>
        <v>-1.2</v>
      </c>
      <c r="H14" s="256"/>
      <c r="L14" s="257">
        <v>-1.2</v>
      </c>
    </row>
    <row r="15" customHeight="1" spans="1:12">
      <c r="A15" s="262"/>
      <c r="B15" s="263" t="s">
        <v>18</v>
      </c>
      <c r="C15" s="249" t="s">
        <v>2137</v>
      </c>
      <c r="D15" s="259" t="s">
        <v>2138</v>
      </c>
      <c r="E15" s="251" t="s">
        <v>2139</v>
      </c>
      <c r="F15" s="251" t="s">
        <v>2133</v>
      </c>
      <c r="G15" s="237">
        <f t="shared" si="0"/>
        <v>3.1</v>
      </c>
      <c r="H15" s="264"/>
      <c r="L15" s="257">
        <v>3.1</v>
      </c>
    </row>
    <row r="16" customHeight="1" spans="1:12">
      <c r="A16" s="262"/>
      <c r="B16" s="263" t="s">
        <v>18</v>
      </c>
      <c r="C16" s="249" t="s">
        <v>2140</v>
      </c>
      <c r="D16" s="259" t="s">
        <v>2141</v>
      </c>
      <c r="E16" s="251" t="s">
        <v>2142</v>
      </c>
      <c r="F16" s="251" t="s">
        <v>2133</v>
      </c>
      <c r="G16" s="237">
        <f t="shared" si="0"/>
        <v>-3.5</v>
      </c>
      <c r="H16" s="264"/>
      <c r="L16" s="257">
        <v>-3.5</v>
      </c>
    </row>
    <row r="17" customHeight="1" spans="1:12">
      <c r="A17" s="262"/>
      <c r="B17" s="263" t="s">
        <v>18</v>
      </c>
      <c r="C17" s="249" t="s">
        <v>2143</v>
      </c>
      <c r="D17" s="259" t="s">
        <v>2144</v>
      </c>
      <c r="E17" s="251" t="s">
        <v>2145</v>
      </c>
      <c r="F17" s="251" t="s">
        <v>2146</v>
      </c>
      <c r="G17" s="237">
        <f t="shared" si="0"/>
        <v>75</v>
      </c>
      <c r="H17" s="264"/>
      <c r="L17" s="257">
        <v>75</v>
      </c>
    </row>
    <row r="18" customHeight="1" spans="1:12">
      <c r="A18" s="262"/>
      <c r="B18" s="265" t="s">
        <v>19</v>
      </c>
      <c r="C18" s="249" t="s">
        <v>2147</v>
      </c>
      <c r="D18" s="259" t="s">
        <v>2148</v>
      </c>
      <c r="E18" s="251" t="s">
        <v>2142</v>
      </c>
      <c r="F18" s="251" t="s">
        <v>2133</v>
      </c>
      <c r="G18" s="237">
        <f t="shared" si="0"/>
        <v>34.6</v>
      </c>
      <c r="H18" s="264"/>
      <c r="L18" s="257">
        <v>34.6</v>
      </c>
    </row>
    <row r="19" customHeight="1" spans="1:12">
      <c r="A19" s="262"/>
      <c r="B19" s="265" t="s">
        <v>19</v>
      </c>
      <c r="C19" s="249" t="s">
        <v>2149</v>
      </c>
      <c r="D19" s="259" t="s">
        <v>2150</v>
      </c>
      <c r="E19" s="251" t="s">
        <v>2151</v>
      </c>
      <c r="F19" s="251" t="s">
        <v>2133</v>
      </c>
      <c r="G19" s="237">
        <f t="shared" si="0"/>
        <v>28.1</v>
      </c>
      <c r="H19" s="264"/>
      <c r="L19" s="257">
        <v>28.1</v>
      </c>
    </row>
    <row r="20" customHeight="1" spans="1:12">
      <c r="A20" s="262"/>
      <c r="B20" s="265" t="s">
        <v>19</v>
      </c>
      <c r="C20" s="249" t="s">
        <v>2137</v>
      </c>
      <c r="D20" s="259" t="s">
        <v>2152</v>
      </c>
      <c r="E20" s="251" t="s">
        <v>2139</v>
      </c>
      <c r="F20" s="251" t="s">
        <v>2133</v>
      </c>
      <c r="G20" s="237">
        <f t="shared" si="0"/>
        <v>31.3</v>
      </c>
      <c r="H20" s="264"/>
      <c r="L20" s="257">
        <v>31.3</v>
      </c>
    </row>
    <row r="21" customHeight="1" spans="1:12">
      <c r="A21" s="262"/>
      <c r="B21" s="265" t="s">
        <v>19</v>
      </c>
      <c r="C21" s="249" t="s">
        <v>2153</v>
      </c>
      <c r="D21" s="259" t="s">
        <v>2154</v>
      </c>
      <c r="E21" s="251" t="s">
        <v>2145</v>
      </c>
      <c r="F21" s="251" t="s">
        <v>2133</v>
      </c>
      <c r="G21" s="237">
        <f t="shared" si="0"/>
        <v>68</v>
      </c>
      <c r="H21" s="256"/>
      <c r="L21" s="257">
        <v>68</v>
      </c>
    </row>
    <row r="22" customHeight="1" spans="1:12">
      <c r="A22" s="262"/>
      <c r="B22" s="265" t="s">
        <v>19</v>
      </c>
      <c r="C22" s="249" t="s">
        <v>2155</v>
      </c>
      <c r="D22" s="259" t="s">
        <v>2156</v>
      </c>
      <c r="E22" s="251" t="s">
        <v>2157</v>
      </c>
      <c r="F22" s="260" t="s">
        <v>2133</v>
      </c>
      <c r="G22" s="237">
        <f t="shared" si="0"/>
        <v>31.5</v>
      </c>
      <c r="H22" s="256"/>
      <c r="L22" s="257">
        <v>31.5</v>
      </c>
    </row>
    <row r="23" customHeight="1" spans="1:12">
      <c r="A23" s="266" t="s">
        <v>2158</v>
      </c>
      <c r="B23" s="265" t="s">
        <v>19</v>
      </c>
      <c r="C23" s="249" t="s">
        <v>2159</v>
      </c>
      <c r="D23" s="259" t="s">
        <v>2160</v>
      </c>
      <c r="E23" s="251" t="s">
        <v>2161</v>
      </c>
      <c r="F23" s="251" t="s">
        <v>2162</v>
      </c>
      <c r="G23" s="237">
        <f t="shared" si="0"/>
        <v>2.8</v>
      </c>
      <c r="H23" s="256"/>
      <c r="L23" s="257">
        <v>2.8</v>
      </c>
    </row>
    <row r="24" customHeight="1" spans="1:12">
      <c r="A24" s="262"/>
      <c r="B24" s="265" t="s">
        <v>19</v>
      </c>
      <c r="C24" s="249" t="s">
        <v>2163</v>
      </c>
      <c r="D24" s="259" t="s">
        <v>2164</v>
      </c>
      <c r="E24" s="251" t="s">
        <v>2165</v>
      </c>
      <c r="F24" s="251" t="s">
        <v>2113</v>
      </c>
      <c r="G24" s="237" t="str">
        <f t="shared" si="0"/>
        <v>SE</v>
      </c>
      <c r="H24" s="256"/>
      <c r="L24" s="257" t="s">
        <v>592</v>
      </c>
    </row>
    <row r="25" customHeight="1" spans="1:12">
      <c r="A25" s="262"/>
      <c r="B25" s="265" t="s">
        <v>19</v>
      </c>
      <c r="C25" s="249" t="s">
        <v>2166</v>
      </c>
      <c r="D25" s="259" t="s">
        <v>2167</v>
      </c>
      <c r="E25" s="251" t="s">
        <v>2165</v>
      </c>
      <c r="F25" s="251" t="s">
        <v>2146</v>
      </c>
      <c r="G25" s="237">
        <f t="shared" si="0"/>
        <v>17</v>
      </c>
      <c r="H25" s="256"/>
      <c r="L25" s="257">
        <v>17</v>
      </c>
    </row>
    <row r="26" customHeight="1" spans="1:12">
      <c r="A26" s="262"/>
      <c r="B26" s="265" t="s">
        <v>19</v>
      </c>
      <c r="C26" s="249" t="s">
        <v>2168</v>
      </c>
      <c r="D26" s="259" t="s">
        <v>2169</v>
      </c>
      <c r="E26" s="251" t="s">
        <v>2161</v>
      </c>
      <c r="F26" s="251" t="s">
        <v>2162</v>
      </c>
      <c r="G26" s="237">
        <f t="shared" si="0"/>
        <v>3.1</v>
      </c>
      <c r="H26" s="256"/>
      <c r="L26" s="257">
        <v>3.1</v>
      </c>
    </row>
    <row r="27" customHeight="1" spans="1:12">
      <c r="A27" s="262"/>
      <c r="B27" s="263" t="s">
        <v>18</v>
      </c>
      <c r="C27" s="249" t="s">
        <v>2159</v>
      </c>
      <c r="D27" s="259" t="s">
        <v>2170</v>
      </c>
      <c r="E27" s="251" t="s">
        <v>2161</v>
      </c>
      <c r="F27" s="251" t="s">
        <v>2162</v>
      </c>
      <c r="G27" s="237">
        <f t="shared" si="0"/>
        <v>2.4</v>
      </c>
      <c r="H27" s="256"/>
      <c r="L27" s="257">
        <v>2.4</v>
      </c>
    </row>
    <row r="28" customHeight="1" spans="1:12">
      <c r="A28" s="262"/>
      <c r="B28" s="263" t="s">
        <v>18</v>
      </c>
      <c r="C28" s="249" t="s">
        <v>2163</v>
      </c>
      <c r="D28" s="259" t="s">
        <v>2171</v>
      </c>
      <c r="E28" s="251" t="s">
        <v>2165</v>
      </c>
      <c r="F28" s="251" t="s">
        <v>2113</v>
      </c>
      <c r="G28" s="237" t="str">
        <f t="shared" si="0"/>
        <v>C   NE</v>
      </c>
      <c r="H28" s="256"/>
      <c r="L28" s="257" t="s">
        <v>162</v>
      </c>
    </row>
    <row r="29" customHeight="1" spans="1:12">
      <c r="A29" s="262"/>
      <c r="B29" s="263" t="s">
        <v>18</v>
      </c>
      <c r="C29" s="249" t="s">
        <v>2166</v>
      </c>
      <c r="D29" s="259" t="s">
        <v>2172</v>
      </c>
      <c r="E29" s="251" t="s">
        <v>2165</v>
      </c>
      <c r="F29" s="251" t="s">
        <v>2146</v>
      </c>
      <c r="G29" s="237">
        <f t="shared" si="0"/>
        <v>9</v>
      </c>
      <c r="H29" s="256"/>
      <c r="L29" s="257">
        <v>9</v>
      </c>
    </row>
    <row r="30" customHeight="1" spans="1:12">
      <c r="A30" s="262"/>
      <c r="B30" s="263" t="s">
        <v>18</v>
      </c>
      <c r="C30" s="249" t="s">
        <v>2168</v>
      </c>
      <c r="D30" s="259" t="s">
        <v>2173</v>
      </c>
      <c r="E30" s="251" t="s">
        <v>2161</v>
      </c>
      <c r="F30" s="251" t="s">
        <v>2162</v>
      </c>
      <c r="G30" s="237">
        <f t="shared" si="0"/>
        <v>3</v>
      </c>
      <c r="H30" s="256"/>
      <c r="I30" s="208" t="s">
        <v>2174</v>
      </c>
      <c r="L30" s="257">
        <v>3</v>
      </c>
    </row>
    <row r="31" customHeight="1" spans="1:12">
      <c r="A31" s="262"/>
      <c r="B31" s="249" t="s">
        <v>2129</v>
      </c>
      <c r="C31" s="249" t="s">
        <v>21</v>
      </c>
      <c r="D31" s="259" t="s">
        <v>2175</v>
      </c>
      <c r="E31" s="251" t="s">
        <v>2161</v>
      </c>
      <c r="F31" s="251" t="s">
        <v>2113</v>
      </c>
      <c r="G31" s="237" t="str">
        <f t="shared" si="0"/>
        <v>SE</v>
      </c>
      <c r="H31" s="256"/>
      <c r="L31" s="257" t="s">
        <v>592</v>
      </c>
    </row>
    <row r="32" customHeight="1" spans="1:12">
      <c r="A32" s="262"/>
      <c r="B32" s="249" t="s">
        <v>2129</v>
      </c>
      <c r="C32" s="249" t="s">
        <v>2176</v>
      </c>
      <c r="D32" s="259" t="s">
        <v>2177</v>
      </c>
      <c r="E32" s="251" t="s">
        <v>2161</v>
      </c>
      <c r="F32" s="251" t="s">
        <v>2113</v>
      </c>
      <c r="G32" s="237">
        <f t="shared" si="0"/>
        <v>13</v>
      </c>
      <c r="H32" s="256"/>
      <c r="L32" s="257">
        <v>13</v>
      </c>
    </row>
    <row r="33" customHeight="1" spans="1:12">
      <c r="A33" s="266" t="s">
        <v>2178</v>
      </c>
      <c r="B33" s="263" t="s">
        <v>18</v>
      </c>
      <c r="C33" s="249" t="s">
        <v>2179</v>
      </c>
      <c r="D33" s="259"/>
      <c r="E33" s="251" t="s">
        <v>2180</v>
      </c>
      <c r="F33" s="251" t="s">
        <v>2146</v>
      </c>
      <c r="G33" s="237">
        <f t="shared" si="0"/>
        <v>42</v>
      </c>
      <c r="H33" s="256"/>
      <c r="L33" s="257">
        <v>42</v>
      </c>
    </row>
    <row r="34" customHeight="1" spans="1:12">
      <c r="A34" s="267"/>
      <c r="B34" s="263" t="s">
        <v>18</v>
      </c>
      <c r="C34" s="249" t="s">
        <v>2181</v>
      </c>
      <c r="D34" s="259"/>
      <c r="E34" s="251" t="s">
        <v>2182</v>
      </c>
      <c r="F34" s="251" t="s">
        <v>2125</v>
      </c>
      <c r="G34" s="237">
        <f t="shared" si="0"/>
        <v>12</v>
      </c>
      <c r="H34" s="256"/>
      <c r="L34" s="257">
        <v>12</v>
      </c>
    </row>
    <row r="35" customHeight="1" spans="1:12">
      <c r="A35" s="266" t="s">
        <v>2183</v>
      </c>
      <c r="B35" s="265" t="s">
        <v>19</v>
      </c>
      <c r="C35" s="249" t="s">
        <v>2184</v>
      </c>
      <c r="D35" s="259" t="s">
        <v>2185</v>
      </c>
      <c r="E35" s="251" t="s">
        <v>2186</v>
      </c>
      <c r="F35" s="251" t="s">
        <v>2187</v>
      </c>
      <c r="G35" s="237">
        <f t="shared" si="0"/>
        <v>1026.1</v>
      </c>
      <c r="H35" s="268"/>
      <c r="I35" s="208" t="s">
        <v>2188</v>
      </c>
      <c r="L35" s="257">
        <v>1026.1</v>
      </c>
    </row>
    <row r="36" customHeight="1" spans="1:12">
      <c r="A36" s="267"/>
      <c r="B36" s="263" t="s">
        <v>18</v>
      </c>
      <c r="C36" s="249" t="s">
        <v>2184</v>
      </c>
      <c r="D36" s="259" t="s">
        <v>2189</v>
      </c>
      <c r="E36" s="251" t="s">
        <v>2190</v>
      </c>
      <c r="F36" s="251" t="s">
        <v>2187</v>
      </c>
      <c r="G36" s="237">
        <f t="shared" si="0"/>
        <v>1005.3</v>
      </c>
      <c r="H36" s="268"/>
      <c r="I36" s="208" t="s">
        <v>2188</v>
      </c>
      <c r="L36" s="257">
        <v>1005.3</v>
      </c>
    </row>
    <row r="37" customHeight="1" spans="1:12">
      <c r="A37" s="266" t="s">
        <v>12</v>
      </c>
      <c r="B37" s="263" t="s">
        <v>18</v>
      </c>
      <c r="C37" s="249" t="s">
        <v>24</v>
      </c>
      <c r="D37" s="259"/>
      <c r="E37" s="251" t="s">
        <v>2191</v>
      </c>
      <c r="F37" s="251" t="s">
        <v>2191</v>
      </c>
      <c r="G37" s="237">
        <f t="shared" si="0"/>
        <v>56</v>
      </c>
      <c r="H37" s="256"/>
      <c r="L37" s="257">
        <v>56</v>
      </c>
    </row>
    <row r="38" customHeight="1" spans="1:12">
      <c r="A38" s="266"/>
      <c r="B38" s="263" t="s">
        <v>18</v>
      </c>
      <c r="C38" s="249" t="s">
        <v>25</v>
      </c>
      <c r="D38" s="259"/>
      <c r="E38" s="251" t="s">
        <v>2192</v>
      </c>
      <c r="F38" s="251" t="s">
        <v>2113</v>
      </c>
      <c r="G38" s="237" t="str">
        <f t="shared" si="0"/>
        <v>12.19--02.12</v>
      </c>
      <c r="H38" s="256"/>
      <c r="L38" s="257" t="s">
        <v>629</v>
      </c>
    </row>
    <row r="39" customHeight="1" spans="1:12">
      <c r="A39" s="266"/>
      <c r="B39" s="263" t="s">
        <v>18</v>
      </c>
      <c r="C39" s="249" t="s">
        <v>2193</v>
      </c>
      <c r="D39" s="259"/>
      <c r="E39" s="251" t="s">
        <v>2194</v>
      </c>
      <c r="F39" s="260" t="s">
        <v>2133</v>
      </c>
      <c r="G39" s="237">
        <f t="shared" si="0"/>
        <v>3.6</v>
      </c>
      <c r="H39" s="256"/>
      <c r="L39" s="257">
        <v>3.6</v>
      </c>
    </row>
    <row r="40" customHeight="1" spans="1:12">
      <c r="A40" s="266"/>
      <c r="B40" s="263" t="s">
        <v>18</v>
      </c>
      <c r="C40" s="249" t="s">
        <v>27</v>
      </c>
      <c r="D40" s="259"/>
      <c r="E40" s="251" t="s">
        <v>2191</v>
      </c>
      <c r="F40" s="251" t="s">
        <v>2191</v>
      </c>
      <c r="G40" s="237">
        <f t="shared" si="0"/>
        <v>102</v>
      </c>
      <c r="H40" s="256"/>
      <c r="L40" s="257">
        <v>102</v>
      </c>
    </row>
    <row r="41" customHeight="1" spans="1:12">
      <c r="A41" s="266"/>
      <c r="B41" s="263" t="s">
        <v>18</v>
      </c>
      <c r="C41" s="249" t="s">
        <v>28</v>
      </c>
      <c r="D41" s="259"/>
      <c r="E41" s="251" t="s">
        <v>2192</v>
      </c>
      <c r="F41" s="251" t="s">
        <v>2113</v>
      </c>
      <c r="G41" s="237" t="str">
        <f t="shared" si="0"/>
        <v>11.27--03.08</v>
      </c>
      <c r="H41" s="256"/>
      <c r="L41" s="257" t="s">
        <v>630</v>
      </c>
    </row>
    <row r="42" customHeight="1" spans="1:12">
      <c r="A42" s="266"/>
      <c r="B42" s="263" t="s">
        <v>18</v>
      </c>
      <c r="C42" s="249" t="s">
        <v>2195</v>
      </c>
      <c r="D42" s="259"/>
      <c r="E42" s="251" t="s">
        <v>2194</v>
      </c>
      <c r="F42" s="260" t="s">
        <v>2133</v>
      </c>
      <c r="G42" s="237">
        <f t="shared" si="0"/>
        <v>4.7</v>
      </c>
      <c r="H42" s="256"/>
      <c r="L42" s="257">
        <v>4.7</v>
      </c>
    </row>
    <row r="43" customHeight="1" spans="1:12">
      <c r="A43" s="266" t="s">
        <v>2196</v>
      </c>
      <c r="B43" s="265" t="s">
        <v>19</v>
      </c>
      <c r="C43" s="249" t="s">
        <v>2197</v>
      </c>
      <c r="D43" s="259" t="s">
        <v>2198</v>
      </c>
      <c r="E43" s="251" t="s">
        <v>2199</v>
      </c>
      <c r="F43" s="260" t="s">
        <v>2133</v>
      </c>
      <c r="G43" s="237">
        <f t="shared" si="0"/>
        <v>39.4</v>
      </c>
      <c r="H43" s="264"/>
      <c r="L43" s="257">
        <v>39.4</v>
      </c>
    </row>
    <row r="44" customHeight="1" spans="1:12">
      <c r="A44" s="267"/>
      <c r="B44" s="263" t="s">
        <v>18</v>
      </c>
      <c r="C44" s="249" t="s">
        <v>2200</v>
      </c>
      <c r="D44" s="259" t="s">
        <v>2201</v>
      </c>
      <c r="E44" s="251" t="s">
        <v>2202</v>
      </c>
      <c r="F44" s="260" t="s">
        <v>2133</v>
      </c>
      <c r="G44" s="237">
        <f t="shared" si="0"/>
        <v>-12.8</v>
      </c>
      <c r="H44" s="269"/>
      <c r="L44" s="270">
        <v>-12.8</v>
      </c>
    </row>
    <row r="45" customHeight="1" spans="1:12">
      <c r="A45" s="266" t="s">
        <v>2203</v>
      </c>
      <c r="B45" s="265" t="s">
        <v>19</v>
      </c>
      <c r="C45" s="271" t="s">
        <v>2204</v>
      </c>
      <c r="D45" s="272" t="s">
        <v>2205</v>
      </c>
      <c r="E45" s="273" t="s">
        <v>2191</v>
      </c>
      <c r="F45" s="273" t="s">
        <v>2206</v>
      </c>
      <c r="G45" s="274">
        <v>21.8</v>
      </c>
      <c r="H45" s="275" t="s">
        <v>2207</v>
      </c>
      <c r="L45"/>
    </row>
    <row r="46" customHeight="1" spans="1:12">
      <c r="A46" s="262"/>
      <c r="B46" s="265" t="s">
        <v>19</v>
      </c>
      <c r="C46" s="249" t="s">
        <v>2208</v>
      </c>
      <c r="D46" s="259" t="s">
        <v>2209</v>
      </c>
      <c r="E46" s="251" t="s">
        <v>2182</v>
      </c>
      <c r="F46" s="251" t="s">
        <v>2210</v>
      </c>
      <c r="G46" s="237">
        <f>1.01*G18+(2500+1.84*G18)*(G45/1000)</f>
        <v>90.8338752</v>
      </c>
      <c r="H46" s="276"/>
      <c r="L46"/>
    </row>
    <row r="47" customHeight="1" spans="1:12">
      <c r="A47" s="262"/>
      <c r="B47" s="265" t="s">
        <v>19</v>
      </c>
      <c r="C47" s="249" t="s">
        <v>2211</v>
      </c>
      <c r="D47" s="259" t="s">
        <v>2212</v>
      </c>
      <c r="E47" s="251" t="s">
        <v>2112</v>
      </c>
      <c r="F47" s="251" t="s">
        <v>2133</v>
      </c>
      <c r="G47" s="237">
        <f>L47</f>
        <v>0</v>
      </c>
      <c r="H47" s="277"/>
      <c r="I47" s="208" t="s">
        <v>2213</v>
      </c>
      <c r="L47"/>
    </row>
    <row r="48" customHeight="1" spans="1:12">
      <c r="A48" s="262"/>
      <c r="B48" s="263" t="s">
        <v>18</v>
      </c>
      <c r="C48" s="249" t="s">
        <v>2204</v>
      </c>
      <c r="D48" s="259" t="s">
        <v>2214</v>
      </c>
      <c r="E48" s="251" t="s">
        <v>2191</v>
      </c>
      <c r="F48" s="251" t="s">
        <v>2206</v>
      </c>
      <c r="G48" s="274">
        <v>2.08</v>
      </c>
      <c r="H48" s="277"/>
      <c r="I48" s="208" t="s">
        <v>2215</v>
      </c>
      <c r="L48"/>
    </row>
    <row r="49" customHeight="1" spans="1:12">
      <c r="A49" s="262"/>
      <c r="B49" s="263" t="s">
        <v>18</v>
      </c>
      <c r="C49" s="249" t="s">
        <v>2208</v>
      </c>
      <c r="D49" s="259" t="s">
        <v>2216</v>
      </c>
      <c r="E49" s="251" t="s">
        <v>2182</v>
      </c>
      <c r="F49" s="251" t="s">
        <v>2210</v>
      </c>
      <c r="G49" s="237">
        <f>1.01*G16+(2500+1.84*G16)*(G48/1000)</f>
        <v>1.6516048</v>
      </c>
      <c r="H49" s="277"/>
      <c r="L49"/>
    </row>
    <row r="50" customHeight="1" spans="1:12">
      <c r="A50" s="266" t="s">
        <v>2217</v>
      </c>
      <c r="B50" s="265" t="s">
        <v>19</v>
      </c>
      <c r="C50" s="249" t="s">
        <v>2218</v>
      </c>
      <c r="D50" s="259" t="s">
        <v>2219</v>
      </c>
      <c r="E50" s="251" t="s">
        <v>2220</v>
      </c>
      <c r="F50" s="251" t="s">
        <v>2206</v>
      </c>
      <c r="G50" s="274">
        <v>21.2</v>
      </c>
      <c r="H50" s="277" t="s">
        <v>2221</v>
      </c>
      <c r="L50"/>
    </row>
    <row r="51" customHeight="1" spans="1:12">
      <c r="A51" s="262"/>
      <c r="B51" s="265" t="s">
        <v>19</v>
      </c>
      <c r="C51" s="249" t="s">
        <v>2222</v>
      </c>
      <c r="D51" s="259" t="s">
        <v>2223</v>
      </c>
      <c r="E51" s="251" t="s">
        <v>2224</v>
      </c>
      <c r="F51" s="251" t="s">
        <v>2210</v>
      </c>
      <c r="G51" s="237">
        <f>1.01*G43+(2500+1.84*G43)*(G50/1000)</f>
        <v>94.3309152</v>
      </c>
      <c r="H51" s="278"/>
      <c r="L51"/>
    </row>
    <row r="52" customHeight="1" spans="1:12">
      <c r="A52" s="262"/>
      <c r="B52" s="263" t="s">
        <v>18</v>
      </c>
      <c r="C52" s="249" t="s">
        <v>2218</v>
      </c>
      <c r="D52" s="259" t="s">
        <v>2225</v>
      </c>
      <c r="E52" s="251" t="s">
        <v>2220</v>
      </c>
      <c r="F52" s="251" t="s">
        <v>2206</v>
      </c>
      <c r="G52" s="274">
        <f>L52</f>
        <v>0</v>
      </c>
      <c r="H52" s="277" t="s">
        <v>2221</v>
      </c>
      <c r="L52"/>
    </row>
    <row r="53" customHeight="1" spans="1:12">
      <c r="A53" s="262"/>
      <c r="B53" s="263" t="s">
        <v>18</v>
      </c>
      <c r="C53" s="249" t="s">
        <v>2222</v>
      </c>
      <c r="D53" s="259" t="s">
        <v>2226</v>
      </c>
      <c r="E53" s="251" t="s">
        <v>2224</v>
      </c>
      <c r="F53" s="251" t="s">
        <v>2210</v>
      </c>
      <c r="G53" s="237">
        <f>1.01*G44+(2500+1.84*G44)*(G52/1000)</f>
        <v>-12.928</v>
      </c>
      <c r="H53" s="279"/>
      <c r="L53"/>
    </row>
    <row r="54" customHeight="1" spans="1:12">
      <c r="A54" s="280"/>
      <c r="B54" s="281"/>
      <c r="C54" s="282"/>
      <c r="D54" s="283"/>
      <c r="E54" s="284"/>
      <c r="F54" s="284"/>
      <c r="G54" s="285"/>
      <c r="H54" s="285"/>
      <c r="L54"/>
    </row>
    <row r="55" customHeight="1" spans="1:12">
      <c r="L55"/>
    </row>
    <row r="56" customHeight="1" spans="1:12">
      <c r="L56"/>
    </row>
    <row r="57" customHeight="1" spans="1:12">
      <c r="L57"/>
    </row>
    <row r="58" customHeight="1" spans="1:12">
      <c r="L58"/>
    </row>
    <row r="59" customHeight="1" spans="1:12">
      <c r="C59" s="286"/>
      <c r="I59" s="286"/>
      <c r="L59"/>
    </row>
    <row r="60" customHeight="1" spans="1:12">
      <c r="L60"/>
    </row>
    <row r="61" customHeight="1" spans="1:12">
      <c r="L61"/>
    </row>
    <row r="62" customHeight="1" spans="1:12">
      <c r="L62"/>
    </row>
    <row r="63" customHeight="1" spans="1:12">
      <c r="L63"/>
    </row>
    <row r="64" customHeight="1" spans="1:12">
      <c r="L64"/>
    </row>
    <row r="65" customHeight="1" spans="12:12">
      <c r="L65"/>
    </row>
    <row r="66" customHeight="1" spans="12:12">
      <c r="L66"/>
    </row>
    <row r="67" customHeight="1" spans="12:12">
      <c r="L67"/>
    </row>
    <row r="68" customHeight="1" spans="12:12">
      <c r="L68"/>
    </row>
    <row r="69" customHeight="1" spans="12:12">
      <c r="L69"/>
    </row>
    <row r="70" customHeight="1" spans="12:12">
      <c r="L70"/>
    </row>
    <row r="71" customHeight="1" spans="12:12">
      <c r="L71"/>
    </row>
    <row r="72" customHeight="1" spans="12:12">
      <c r="L72"/>
    </row>
    <row r="73" customHeight="1" spans="12:12">
      <c r="L73"/>
    </row>
    <row r="74" customHeight="1" spans="12:12">
      <c r="L74"/>
    </row>
    <row r="75" customHeight="1" spans="12:12">
      <c r="L75"/>
    </row>
    <row r="76" customHeight="1" spans="12:12">
      <c r="L76"/>
    </row>
    <row r="77" customHeight="1" spans="12:12">
      <c r="L77"/>
    </row>
    <row r="78" customHeight="1" spans="12:12">
      <c r="L78"/>
    </row>
    <row r="79" customHeight="1" spans="12:12">
      <c r="L79"/>
    </row>
    <row r="80" customHeight="1" spans="12:12">
      <c r="L80"/>
    </row>
    <row r="81" customHeight="1" spans="12:12">
      <c r="L81"/>
    </row>
    <row r="82" customHeight="1" spans="12:12">
      <c r="L82"/>
    </row>
    <row r="83" customHeight="1" spans="12:12">
      <c r="L83"/>
    </row>
    <row r="84" customHeight="1" spans="12:12">
      <c r="L84"/>
    </row>
    <row r="85" customHeight="1" spans="12:12">
      <c r="L85"/>
    </row>
    <row r="86" customHeight="1" spans="12:12">
      <c r="L86"/>
    </row>
    <row r="87" customHeight="1" spans="12:12">
      <c r="L87"/>
    </row>
    <row r="88" customHeight="1" spans="12:12">
      <c r="L88"/>
    </row>
    <row r="89" customHeight="1" spans="12:12">
      <c r="L89"/>
    </row>
    <row r="90" customHeight="1" spans="12:12">
      <c r="L90"/>
    </row>
    <row r="91" customHeight="1" spans="12:12">
      <c r="L91"/>
    </row>
    <row r="92" customHeight="1" spans="12:12">
      <c r="L92"/>
    </row>
    <row r="93" customHeight="1" spans="12:12">
      <c r="L93"/>
    </row>
    <row r="94" customHeight="1" spans="12:12">
      <c r="L94"/>
    </row>
    <row r="95" customHeight="1" spans="12:12">
      <c r="L95"/>
    </row>
    <row r="96" customHeight="1" spans="12:12">
      <c r="L96"/>
    </row>
    <row r="97" customHeight="1" spans="12:12">
      <c r="L97"/>
    </row>
    <row r="98" customHeight="1" spans="12:12">
      <c r="L98"/>
    </row>
    <row r="99" customHeight="1" spans="12:12">
      <c r="L99"/>
    </row>
    <row r="100" customHeight="1" spans="12:12">
      <c r="L100"/>
    </row>
    <row r="101" customHeight="1" spans="12:12">
      <c r="L101"/>
    </row>
    <row r="102" customHeight="1" spans="12:12">
      <c r="L102"/>
    </row>
    <row r="103" customHeight="1" spans="12:12">
      <c r="L103"/>
    </row>
    <row r="104" customHeight="1" spans="12:12">
      <c r="L104"/>
    </row>
    <row r="105" customHeight="1" spans="12:12">
      <c r="L105"/>
    </row>
    <row r="106" customHeight="1" spans="12:12">
      <c r="L106"/>
    </row>
    <row r="107" customHeight="1" spans="12:12">
      <c r="L107"/>
    </row>
    <row r="108" customHeight="1" spans="12:12">
      <c r="L108"/>
    </row>
    <row r="109" customHeight="1" spans="12:12">
      <c r="L109"/>
    </row>
    <row r="110" customHeight="1" spans="12:12">
      <c r="L110"/>
    </row>
    <row r="111" customHeight="1" spans="12:12">
      <c r="L111"/>
    </row>
    <row r="112" customHeight="1" spans="12:12">
      <c r="L112"/>
    </row>
    <row r="113" customHeight="1" spans="12:12">
      <c r="L113"/>
    </row>
    <row r="114" customHeight="1" spans="12:12">
      <c r="L114"/>
    </row>
    <row r="115" customHeight="1" spans="12:12">
      <c r="L115"/>
    </row>
    <row r="116" customHeight="1" spans="12:12">
      <c r="L116"/>
    </row>
    <row r="117" customHeight="1" spans="12:12">
      <c r="L117"/>
    </row>
    <row r="118" customHeight="1" spans="12:12">
      <c r="L118"/>
    </row>
    <row r="119" customHeight="1" spans="12:12">
      <c r="L119"/>
    </row>
    <row r="120" customHeight="1" spans="12:12">
      <c r="L120"/>
    </row>
    <row r="121" customHeight="1" spans="12:12">
      <c r="L121"/>
    </row>
    <row r="122" customHeight="1" spans="12:12">
      <c r="L122"/>
    </row>
    <row r="123" customHeight="1" spans="12:12">
      <c r="L123"/>
    </row>
    <row r="124" customHeight="1" spans="12:12">
      <c r="L124"/>
    </row>
    <row r="125" customHeight="1" spans="12:12">
      <c r="L125"/>
    </row>
    <row r="126" customHeight="1" spans="12:12">
      <c r="L126"/>
    </row>
    <row r="127" customHeight="1" spans="12:12">
      <c r="L127"/>
    </row>
    <row r="128" customHeight="1" spans="12:12">
      <c r="L128"/>
    </row>
    <row r="129" customHeight="1" spans="12:12">
      <c r="L129"/>
    </row>
    <row r="130" customHeight="1" spans="12:12">
      <c r="L130"/>
    </row>
    <row r="131" customHeight="1" spans="12:12">
      <c r="L131"/>
    </row>
    <row r="132" customHeight="1" spans="12:12">
      <c r="L132"/>
    </row>
    <row r="133" customHeight="1" spans="12:12">
      <c r="L133"/>
    </row>
    <row r="134" customHeight="1" spans="12:12">
      <c r="L134"/>
    </row>
    <row r="135" customHeight="1" spans="12:12">
      <c r="L135"/>
    </row>
    <row r="136" customHeight="1" spans="12:12">
      <c r="L136"/>
    </row>
    <row r="137" customHeight="1" spans="12:12">
      <c r="L137"/>
    </row>
    <row r="138" customHeight="1" spans="12:12">
      <c r="L138"/>
    </row>
    <row r="139" customHeight="1" spans="12:12">
      <c r="L139"/>
    </row>
    <row r="140" customHeight="1" spans="12:12">
      <c r="L140"/>
    </row>
    <row r="141" customHeight="1" spans="12:12">
      <c r="L141"/>
    </row>
    <row r="142" customHeight="1" spans="12:12">
      <c r="L142"/>
    </row>
    <row r="143" customHeight="1" spans="12:12">
      <c r="L143"/>
    </row>
    <row r="144" customHeight="1" spans="12:12">
      <c r="L144"/>
    </row>
    <row r="145" customHeight="1" spans="12:12">
      <c r="L145"/>
    </row>
    <row r="146" customHeight="1" spans="12:12">
      <c r="L146"/>
    </row>
    <row r="147" customHeight="1" spans="12:12">
      <c r="L147"/>
    </row>
    <row r="148" customHeight="1" spans="12:12">
      <c r="L148"/>
    </row>
    <row r="149" customHeight="1" spans="12:12">
      <c r="L149"/>
    </row>
    <row r="150" customHeight="1" spans="12:12">
      <c r="L150"/>
    </row>
    <row r="151" customHeight="1" spans="12:12">
      <c r="L151"/>
    </row>
    <row r="152" customHeight="1" spans="12:12">
      <c r="L152"/>
    </row>
    <row r="153" customHeight="1" spans="12:12">
      <c r="L153"/>
    </row>
    <row r="154" customHeight="1" spans="12:12">
      <c r="L154"/>
    </row>
    <row r="155" customHeight="1" spans="12:12">
      <c r="L155"/>
    </row>
    <row r="156" customHeight="1" spans="12:12">
      <c r="L156"/>
    </row>
    <row r="157" customHeight="1" spans="12:12">
      <c r="L157"/>
    </row>
    <row r="158" customHeight="1" spans="12:12">
      <c r="L158"/>
    </row>
    <row r="159" customHeight="1" spans="12:12">
      <c r="L159"/>
    </row>
    <row r="160" customHeight="1" spans="12:12">
      <c r="L160"/>
    </row>
    <row r="161" customHeight="1" spans="12:12">
      <c r="L161"/>
    </row>
    <row r="162" customHeight="1" spans="12:12">
      <c r="L162"/>
    </row>
    <row r="163" customHeight="1" spans="12:12">
      <c r="L163"/>
    </row>
    <row r="164" customHeight="1" spans="12:12">
      <c r="L164"/>
    </row>
    <row r="165" customHeight="1" spans="12:12">
      <c r="L165"/>
    </row>
    <row r="166" customHeight="1" spans="12:12">
      <c r="L166"/>
    </row>
    <row r="167" customHeight="1" spans="12:12">
      <c r="L167"/>
    </row>
    <row r="168" customHeight="1" spans="12:12">
      <c r="L168"/>
    </row>
    <row r="169" customHeight="1" spans="12:12">
      <c r="L169"/>
    </row>
    <row r="170" customHeight="1" spans="12:12">
      <c r="L170"/>
    </row>
    <row r="171" customHeight="1" spans="12:12">
      <c r="L171"/>
    </row>
    <row r="172" customHeight="1" spans="12:12">
      <c r="L172"/>
    </row>
    <row r="173" customHeight="1" spans="12:12">
      <c r="L173"/>
    </row>
    <row r="174" customHeight="1" spans="12:12">
      <c r="L174"/>
    </row>
    <row r="175" customHeight="1" spans="12:12">
      <c r="L175"/>
    </row>
    <row r="176" customHeight="1" spans="12:12">
      <c r="L176"/>
    </row>
    <row r="177" customHeight="1" spans="12:12">
      <c r="L177"/>
    </row>
    <row r="178" customHeight="1" spans="12:12">
      <c r="L178"/>
    </row>
    <row r="179" customHeight="1" spans="12:12">
      <c r="L179"/>
    </row>
    <row r="180" customHeight="1" spans="12:12">
      <c r="L180"/>
    </row>
    <row r="181" customHeight="1" spans="12:12">
      <c r="L181"/>
    </row>
    <row r="182" customHeight="1" spans="12:12">
      <c r="L182"/>
    </row>
    <row r="183" customHeight="1" spans="12:12">
      <c r="L183"/>
    </row>
    <row r="184" customHeight="1" spans="12:12">
      <c r="L184"/>
    </row>
    <row r="185" customHeight="1" spans="12:12">
      <c r="L185"/>
    </row>
    <row r="186" customHeight="1" spans="12:12">
      <c r="L186"/>
    </row>
    <row r="187" customHeight="1" spans="12:12">
      <c r="L187"/>
    </row>
    <row r="188" customHeight="1" spans="12:12">
      <c r="L188"/>
    </row>
    <row r="189" customHeight="1" spans="12:12">
      <c r="L189"/>
    </row>
    <row r="190" customHeight="1" spans="12:12">
      <c r="L190"/>
    </row>
    <row r="191" customHeight="1" spans="12:12">
      <c r="L191"/>
    </row>
    <row r="192" customHeight="1" spans="12:12">
      <c r="L192"/>
    </row>
    <row r="193" customHeight="1" spans="12:12">
      <c r="L193"/>
    </row>
    <row r="194" customHeight="1" spans="12:12">
      <c r="L194"/>
    </row>
    <row r="195" customHeight="1" spans="12:12">
      <c r="L195"/>
    </row>
    <row r="196" customHeight="1" spans="12:12">
      <c r="L196"/>
    </row>
    <row r="197" customHeight="1" spans="12:12">
      <c r="L197"/>
    </row>
    <row r="198" customHeight="1" spans="12:12">
      <c r="L198"/>
    </row>
    <row r="199" customHeight="1" spans="12:12">
      <c r="L199"/>
    </row>
    <row r="200" customHeight="1" spans="12:12">
      <c r="L200"/>
    </row>
    <row r="201" customHeight="1" spans="12:12">
      <c r="L201"/>
    </row>
    <row r="202" customHeight="1" spans="12:12">
      <c r="L202"/>
    </row>
    <row r="203" customHeight="1" spans="12:12">
      <c r="L203"/>
    </row>
    <row r="204" customHeight="1" spans="12:12">
      <c r="L204"/>
    </row>
    <row r="205" customHeight="1" spans="12:12">
      <c r="L205"/>
    </row>
    <row r="206" customHeight="1" spans="12:12">
      <c r="L206"/>
    </row>
    <row r="207" customHeight="1" spans="12:12">
      <c r="L207"/>
    </row>
    <row r="208" customHeight="1" spans="12:12">
      <c r="L208"/>
    </row>
    <row r="209" customHeight="1" spans="12:12">
      <c r="L209"/>
    </row>
    <row r="210" customHeight="1" spans="12:12">
      <c r="L210"/>
    </row>
    <row r="211" customHeight="1" spans="12:12">
      <c r="L211"/>
    </row>
    <row r="212" customHeight="1" spans="12:12">
      <c r="L212"/>
    </row>
    <row r="213" customHeight="1" spans="12:12">
      <c r="L213"/>
    </row>
    <row r="214" customHeight="1" spans="12:12">
      <c r="L214"/>
    </row>
    <row r="215" customHeight="1" spans="12:12">
      <c r="L215"/>
    </row>
    <row r="216" customHeight="1" spans="12:12">
      <c r="L216"/>
    </row>
    <row r="217" customHeight="1" spans="12:12">
      <c r="L217"/>
    </row>
    <row r="218" customHeight="1" spans="12:12">
      <c r="L218"/>
    </row>
    <row r="219" customHeight="1" spans="12:12">
      <c r="L219"/>
    </row>
    <row r="220" customHeight="1" spans="12:12">
      <c r="L220"/>
    </row>
    <row r="221" customHeight="1" spans="12:12">
      <c r="L221"/>
    </row>
    <row r="222" customHeight="1" spans="12:12">
      <c r="L222"/>
    </row>
    <row r="223" customHeight="1" spans="12:12">
      <c r="L223"/>
    </row>
    <row r="224" customHeight="1" spans="12:12">
      <c r="L224"/>
    </row>
    <row r="225" customHeight="1" spans="12:12">
      <c r="L225"/>
    </row>
    <row r="226" customHeight="1" spans="12:12">
      <c r="L226"/>
    </row>
    <row r="227" customHeight="1" spans="12:12">
      <c r="L227"/>
    </row>
    <row r="228" customHeight="1" spans="12:12">
      <c r="L228"/>
    </row>
    <row r="229" customHeight="1" spans="12:12">
      <c r="L229"/>
    </row>
    <row r="230" customHeight="1" spans="12:12">
      <c r="L230"/>
    </row>
    <row r="231" customHeight="1" spans="12:12">
      <c r="L231"/>
    </row>
    <row r="232" customHeight="1" spans="12:12">
      <c r="L232"/>
    </row>
    <row r="233" customHeight="1" spans="12:12">
      <c r="L233"/>
    </row>
    <row r="234" customHeight="1" spans="12:12">
      <c r="L234"/>
    </row>
    <row r="235" customHeight="1" spans="12:12">
      <c r="L235"/>
    </row>
    <row r="236" customHeight="1" spans="12:12">
      <c r="L236"/>
    </row>
    <row r="237" customHeight="1" spans="12:12">
      <c r="L237"/>
    </row>
    <row r="238" customHeight="1" spans="12:12">
      <c r="L238"/>
    </row>
    <row r="239" customHeight="1" spans="12:12">
      <c r="L239"/>
    </row>
    <row r="240" customHeight="1" spans="12:12">
      <c r="L240"/>
    </row>
    <row r="241" customHeight="1" spans="12:12">
      <c r="L241"/>
    </row>
    <row r="242" customHeight="1" spans="12:12">
      <c r="L242"/>
    </row>
    <row r="243" customHeight="1" spans="12:12">
      <c r="L243"/>
    </row>
    <row r="244" customHeight="1" spans="12:12">
      <c r="L244"/>
    </row>
    <row r="245" customHeight="1" spans="12:12">
      <c r="L245"/>
    </row>
    <row r="246" customHeight="1" spans="12:12">
      <c r="L246"/>
    </row>
    <row r="247" customHeight="1" spans="12:12">
      <c r="L247"/>
    </row>
    <row r="248" customHeight="1" spans="12:12">
      <c r="L248"/>
    </row>
    <row r="249" customHeight="1" spans="12:12">
      <c r="L249"/>
    </row>
    <row r="250" customHeight="1" spans="12:12">
      <c r="L250"/>
    </row>
    <row r="251" customHeight="1" spans="12:12">
      <c r="L251"/>
    </row>
    <row r="252" customHeight="1" spans="12:12">
      <c r="L252"/>
    </row>
    <row r="253" customHeight="1" spans="12:12">
      <c r="L253"/>
    </row>
    <row r="254" customHeight="1" spans="12:12">
      <c r="L254"/>
    </row>
    <row r="255" customHeight="1" spans="12:12">
      <c r="L255"/>
    </row>
    <row r="256" customHeight="1" spans="12:12">
      <c r="L256"/>
    </row>
    <row r="257" customHeight="1" spans="12:12">
      <c r="L257"/>
    </row>
    <row r="258" customHeight="1" spans="12:12">
      <c r="L258"/>
    </row>
    <row r="259" customHeight="1" spans="12:12">
      <c r="L259"/>
    </row>
    <row r="260" customHeight="1" spans="12:12">
      <c r="L260"/>
    </row>
  </sheetData>
  <sheetProtection insertRows="0" insertColumns="0" deleteColumns="0" deleteRows="0"/>
  <mergeCells count="13">
    <mergeCell ref="B2:C2"/>
    <mergeCell ref="A5:A7"/>
    <mergeCell ref="A8:A12"/>
    <mergeCell ref="A13:A22"/>
    <mergeCell ref="A23:A32"/>
    <mergeCell ref="A33:A34"/>
    <mergeCell ref="A35:A36"/>
    <mergeCell ref="A37:A42"/>
    <mergeCell ref="A43:A44"/>
    <mergeCell ref="A45:A49"/>
    <mergeCell ref="A50:A53"/>
    <mergeCell ref="B5:B12"/>
    <mergeCell ref="L2:L4"/>
  </mergeCells>
  <hyperlinks>
    <hyperlink ref="B2:C2" location="'全国暖通、空调室外气象参数表《GB50736-2012》 '!A1" display="室外设计气象参数《GB50736-2012》"/>
  </hyperlinks>
  <pageMargins left="0.708661417322835" right="0.55" top="0.748031496062992" bottom="0.748031496062992" header="0.31496062992126" footer="0.31496062992126"/>
  <pageSetup paperSize="9" scale="8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6"/>
  <sheetViews>
    <sheetView zoomScale="85" zoomScaleNormal="85" zoomScaleSheetLayoutView="85" workbookViewId="0">
      <pane xSplit="2" ySplit="6" topLeftCell="C7" activePane="bottomRight" state="frozen"/>
      <selection/>
      <selection pane="topRight"/>
      <selection pane="bottomLeft"/>
      <selection pane="bottomRight" activeCell="I18" sqref="I18"/>
    </sheetView>
  </sheetViews>
  <sheetFormatPr defaultColWidth="7.5" defaultRowHeight="15" customHeight="1"/>
  <cols>
    <col min="1" max="1" width="5" style="155" customWidth="1"/>
    <col min="2" max="2" width="15" style="154" customWidth="1"/>
    <col min="3" max="3" width="5.81666666666667" style="148" customWidth="1"/>
    <col min="4" max="31" width="9.25" style="148" customWidth="1"/>
    <col min="32" max="33" width="7.5" style="148" customWidth="1"/>
    <col min="34" max="255" width="7.5" style="19"/>
  </cols>
  <sheetData>
    <row r="1" s="148" customFormat="1" customHeight="1" spans="1:33">
      <c r="A1" s="20" t="s">
        <v>2102</v>
      </c>
      <c r="B1" s="154"/>
    </row>
    <row r="2" s="149" customFormat="1" ht="18.75" customHeight="1" spans="1:33">
      <c r="A2" s="156" t="s">
        <v>2114</v>
      </c>
      <c r="B2" s="157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9"/>
      <c r="U2" s="159"/>
      <c r="V2" s="159"/>
      <c r="W2" s="159"/>
      <c r="X2" s="159"/>
      <c r="Y2" s="159"/>
      <c r="Z2" s="159"/>
      <c r="AA2" s="159"/>
      <c r="AB2" s="160"/>
      <c r="AC2" s="160"/>
      <c r="AD2" s="24"/>
      <c r="AE2" s="24"/>
      <c r="AF2" s="161"/>
      <c r="AG2" s="161"/>
    </row>
    <row r="3" s="150" customFormat="1" ht="18" customHeight="1" spans="1:33">
      <c r="A3" s="162">
        <v>3</v>
      </c>
      <c r="B3" s="163" t="s">
        <v>2227</v>
      </c>
      <c r="C3" s="164"/>
      <c r="D3" s="162" t="s">
        <v>2228</v>
      </c>
      <c r="E3" s="162" t="s">
        <v>2229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5" t="s">
        <v>2230</v>
      </c>
      <c r="U3" s="162"/>
      <c r="V3" s="162"/>
      <c r="W3" s="162"/>
      <c r="X3" s="165" t="s">
        <v>2230</v>
      </c>
      <c r="Y3" s="162"/>
      <c r="Z3" s="166" t="s">
        <v>2231</v>
      </c>
      <c r="AA3" s="167"/>
      <c r="AB3" s="167"/>
      <c r="AC3" s="167"/>
      <c r="AD3" s="167"/>
      <c r="AE3" s="167"/>
    </row>
    <row r="4" s="151" customFormat="1" ht="29.25" customHeight="1" spans="1:33">
      <c r="A4" s="168">
        <v>4</v>
      </c>
      <c r="B4" s="169" t="s">
        <v>2232</v>
      </c>
      <c r="C4" s="168"/>
      <c r="D4" s="168">
        <v>1</v>
      </c>
      <c r="E4" s="168">
        <v>1</v>
      </c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70"/>
      <c r="U4" s="168"/>
      <c r="V4" s="168"/>
      <c r="W4" s="168"/>
      <c r="X4" s="168"/>
      <c r="Y4" s="168"/>
      <c r="Z4" s="171" t="s">
        <v>2233</v>
      </c>
      <c r="AA4" s="171" t="s">
        <v>2234</v>
      </c>
      <c r="AB4" s="171" t="s">
        <v>2235</v>
      </c>
      <c r="AC4" s="172" t="s">
        <v>2236</v>
      </c>
      <c r="AD4" s="172" t="s">
        <v>2237</v>
      </c>
      <c r="AE4" s="168"/>
      <c r="AF4" s="173"/>
      <c r="AG4" s="174"/>
    </row>
    <row r="5" s="152" customFormat="1" ht="18" customHeight="1" spans="1:33">
      <c r="A5" s="30">
        <v>5</v>
      </c>
      <c r="B5" s="175" t="s">
        <v>2238</v>
      </c>
      <c r="C5" s="176" t="s">
        <v>2239</v>
      </c>
      <c r="D5" s="62">
        <v>288</v>
      </c>
      <c r="E5" s="62">
        <v>288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177">
        <f>SUM(D5:S5)</f>
        <v>576</v>
      </c>
      <c r="U5" s="178"/>
      <c r="V5" s="178"/>
      <c r="W5" s="178"/>
      <c r="X5" s="178"/>
      <c r="Y5" s="178"/>
      <c r="Z5" s="179">
        <v>22</v>
      </c>
      <c r="AA5" s="180">
        <v>0.55</v>
      </c>
      <c r="AB5" s="179">
        <v>9.1</v>
      </c>
      <c r="AC5" s="179">
        <v>45.4</v>
      </c>
      <c r="AD5" s="179">
        <v>12.4</v>
      </c>
      <c r="AE5" s="178"/>
      <c r="AF5" s="181"/>
      <c r="AG5" s="181"/>
    </row>
    <row r="6" s="150" customFormat="1" ht="18" customHeight="1" spans="1:33">
      <c r="A6" s="30">
        <v>6</v>
      </c>
      <c r="B6" s="82" t="s">
        <v>2240</v>
      </c>
      <c r="C6" s="24" t="s">
        <v>2125</v>
      </c>
      <c r="D6" s="62">
        <v>3</v>
      </c>
      <c r="E6" s="62">
        <v>3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182"/>
      <c r="U6" s="183"/>
      <c r="V6" s="183"/>
      <c r="W6" s="183"/>
      <c r="X6" s="183"/>
      <c r="Y6" s="183"/>
      <c r="Z6" s="179">
        <v>22</v>
      </c>
      <c r="AA6" s="180">
        <v>0.5</v>
      </c>
      <c r="AB6" s="179">
        <v>8.3</v>
      </c>
      <c r="AC6" s="179">
        <v>43.3</v>
      </c>
      <c r="AD6" s="179">
        <v>11</v>
      </c>
      <c r="AE6" s="183"/>
    </row>
    <row r="7" s="149" customFormat="1" ht="18" customHeight="1" spans="1:33">
      <c r="A7" s="30">
        <v>7</v>
      </c>
      <c r="B7" s="82" t="s">
        <v>2241</v>
      </c>
      <c r="C7" s="184" t="s">
        <v>2133</v>
      </c>
      <c r="D7" s="58" t="s">
        <v>2242</v>
      </c>
      <c r="E7" s="58" t="s">
        <v>2242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177"/>
      <c r="U7" s="178"/>
      <c r="V7" s="178"/>
      <c r="W7" s="178"/>
      <c r="X7" s="178"/>
      <c r="Y7" s="178"/>
      <c r="Z7" s="179">
        <v>22</v>
      </c>
      <c r="AA7" s="180">
        <v>0.45</v>
      </c>
      <c r="AB7" s="179">
        <v>7.5</v>
      </c>
      <c r="AC7" s="179">
        <v>41.1</v>
      </c>
      <c r="AD7" s="179">
        <v>9.4</v>
      </c>
      <c r="AE7" s="178"/>
      <c r="AF7" s="161"/>
      <c r="AG7" s="185"/>
    </row>
    <row r="8" s="150" customFormat="1" ht="18" customHeight="1" spans="1:33">
      <c r="A8" s="30">
        <v>8</v>
      </c>
      <c r="B8" s="82" t="s">
        <v>2243</v>
      </c>
      <c r="C8" s="24" t="s">
        <v>2146</v>
      </c>
      <c r="D8" s="186" t="s">
        <v>2244</v>
      </c>
      <c r="E8" s="186" t="s">
        <v>2244</v>
      </c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77"/>
      <c r="U8" s="178"/>
      <c r="V8" s="178"/>
      <c r="W8" s="178"/>
      <c r="X8" s="178"/>
      <c r="Y8" s="178"/>
      <c r="Z8" s="179">
        <v>23</v>
      </c>
      <c r="AA8" s="180">
        <v>0.45</v>
      </c>
      <c r="AB8" s="179">
        <v>8</v>
      </c>
      <c r="AC8" s="179">
        <v>43.6</v>
      </c>
      <c r="AD8" s="179">
        <v>10.3</v>
      </c>
      <c r="AE8" s="178"/>
      <c r="AF8" s="187"/>
      <c r="AG8" s="188"/>
    </row>
    <row r="9" s="150" customFormat="1" ht="18" customHeight="1" spans="1:33">
      <c r="A9" s="30">
        <v>9</v>
      </c>
      <c r="B9" s="82" t="s">
        <v>2245</v>
      </c>
      <c r="C9" s="189" t="s">
        <v>2246</v>
      </c>
      <c r="D9" s="186" t="s">
        <v>2247</v>
      </c>
      <c r="E9" s="186" t="s">
        <v>2247</v>
      </c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77"/>
      <c r="U9" s="178"/>
      <c r="V9" s="178"/>
      <c r="W9" s="178"/>
      <c r="X9" s="178"/>
      <c r="Y9" s="178"/>
      <c r="Z9" s="179">
        <v>24</v>
      </c>
      <c r="AA9" s="180">
        <v>0.55</v>
      </c>
      <c r="AB9" s="179">
        <v>10.3</v>
      </c>
      <c r="AC9" s="179">
        <v>50.5</v>
      </c>
      <c r="AD9" s="179">
        <v>14.2</v>
      </c>
      <c r="AE9" s="178"/>
      <c r="AF9" s="187"/>
      <c r="AG9" s="188"/>
    </row>
    <row r="10" s="150" customFormat="1" ht="18" customHeight="1" spans="1:33">
      <c r="A10" s="30">
        <v>10</v>
      </c>
      <c r="B10" s="82" t="s">
        <v>2248</v>
      </c>
      <c r="C10" s="189" t="s">
        <v>2249</v>
      </c>
      <c r="D10" s="190">
        <v>0.5</v>
      </c>
      <c r="E10" s="190">
        <v>0.5</v>
      </c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1"/>
      <c r="U10" s="189"/>
      <c r="V10" s="189"/>
      <c r="W10" s="189"/>
      <c r="X10" s="189"/>
      <c r="Y10" s="189"/>
      <c r="Z10" s="179">
        <v>24</v>
      </c>
      <c r="AA10" s="180">
        <v>0.5</v>
      </c>
      <c r="AB10" s="179">
        <v>9.4</v>
      </c>
      <c r="AC10" s="179">
        <v>48.1</v>
      </c>
      <c r="AD10" s="179">
        <v>12.8</v>
      </c>
      <c r="AE10" s="189"/>
      <c r="AF10" s="187"/>
      <c r="AG10" s="188"/>
    </row>
    <row r="11" s="149" customFormat="1" ht="18" customHeight="1" spans="1:33">
      <c r="A11" s="30">
        <v>11</v>
      </c>
      <c r="B11" s="82" t="s">
        <v>2250</v>
      </c>
      <c r="C11" s="189" t="s">
        <v>2251</v>
      </c>
      <c r="D11" s="192">
        <v>20</v>
      </c>
      <c r="E11" s="192">
        <v>20</v>
      </c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77"/>
      <c r="U11" s="178"/>
      <c r="V11" s="178"/>
      <c r="W11" s="178"/>
      <c r="X11" s="178"/>
      <c r="Y11" s="178"/>
      <c r="Z11" s="179">
        <v>24</v>
      </c>
      <c r="AA11" s="180">
        <v>0.45</v>
      </c>
      <c r="AB11" s="179">
        <v>8.4</v>
      </c>
      <c r="AC11" s="179">
        <v>45.7</v>
      </c>
      <c r="AD11" s="179">
        <v>11.2</v>
      </c>
      <c r="AE11" s="178"/>
      <c r="AF11" s="193"/>
      <c r="AG11" s="193"/>
    </row>
    <row r="12" s="153" customFormat="1" ht="18" customHeight="1" spans="1:33">
      <c r="A12" s="30">
        <v>12</v>
      </c>
      <c r="B12" s="82" t="s">
        <v>2252</v>
      </c>
      <c r="C12" s="189" t="s">
        <v>2253</v>
      </c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5"/>
      <c r="U12" s="24"/>
      <c r="V12" s="24"/>
      <c r="W12" s="24"/>
      <c r="X12" s="24"/>
      <c r="Y12" s="24"/>
      <c r="Z12" s="148"/>
      <c r="AA12" s="148"/>
      <c r="AB12" s="148"/>
      <c r="AC12" s="148"/>
      <c r="AD12" s="148"/>
      <c r="AE12" s="148"/>
      <c r="AF12" s="193"/>
      <c r="AG12" s="193"/>
    </row>
    <row r="13" s="154" customFormat="1" ht="18" customHeight="1" spans="1:33">
      <c r="A13" s="30">
        <v>13</v>
      </c>
      <c r="B13" s="82" t="s">
        <v>2254</v>
      </c>
      <c r="C13" s="189" t="s">
        <v>2255</v>
      </c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5"/>
      <c r="U13" s="24"/>
      <c r="V13" s="24"/>
      <c r="W13" s="24"/>
      <c r="X13" s="24"/>
      <c r="Y13" s="24"/>
      <c r="Z13" s="148"/>
      <c r="AA13" s="148"/>
      <c r="AB13" s="148"/>
      <c r="AC13" s="148"/>
      <c r="AD13" s="148"/>
      <c r="AE13" s="148"/>
      <c r="AF13" s="193"/>
      <c r="AG13" s="193"/>
    </row>
    <row r="14" s="153" customFormat="1" ht="18" customHeight="1" spans="1:33">
      <c r="A14" s="196"/>
      <c r="B14" s="166" t="s">
        <v>2256</v>
      </c>
      <c r="C14" s="197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9"/>
      <c r="AC14" s="198"/>
      <c r="AD14" s="198"/>
      <c r="AE14" s="198"/>
      <c r="AF14" s="200"/>
      <c r="AG14" s="200"/>
    </row>
    <row r="15" s="150" customFormat="1" ht="18" customHeight="1" spans="1:33">
      <c r="A15" s="30">
        <v>15</v>
      </c>
      <c r="B15" s="82" t="s">
        <v>2257</v>
      </c>
      <c r="C15" s="184" t="s">
        <v>2133</v>
      </c>
      <c r="D15" s="25" t="str">
        <f t="shared" ref="D15:F15" si="0">LEFT(D7,2)</f>
        <v>23</v>
      </c>
      <c r="E15" s="25" t="str">
        <f t="shared" si="0"/>
        <v>23</v>
      </c>
      <c r="F15" s="25" t="str">
        <f t="shared" si="0"/>
        <v/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195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187"/>
      <c r="AG15" s="187"/>
    </row>
    <row r="16" s="150" customFormat="1" ht="18" customHeight="1" spans="1:33">
      <c r="A16" s="30">
        <v>16</v>
      </c>
      <c r="B16" s="82" t="s">
        <v>2258</v>
      </c>
      <c r="C16" s="184" t="s">
        <v>2133</v>
      </c>
      <c r="D16" s="25" t="str">
        <f>RIGHT(D7,1)</f>
        <v>2</v>
      </c>
      <c r="E16" s="25" t="str">
        <f>RIGHT(E7,1)</f>
        <v>2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195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187"/>
      <c r="AG16" s="187"/>
    </row>
    <row r="17" s="150" customFormat="1" ht="18" customHeight="1" spans="1:33">
      <c r="A17" s="30">
        <v>17</v>
      </c>
      <c r="B17" s="82" t="s">
        <v>2259</v>
      </c>
      <c r="C17" s="24" t="s">
        <v>2146</v>
      </c>
      <c r="D17" s="25" t="str">
        <f>LEFT(D8,2)</f>
        <v>45</v>
      </c>
      <c r="E17" s="25" t="str">
        <f>LEFT(E8,2)</f>
        <v>45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195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187"/>
      <c r="AG17" s="187"/>
    </row>
    <row r="18" s="150" customFormat="1" ht="18" customHeight="1" spans="1:33">
      <c r="A18" s="30">
        <v>18</v>
      </c>
      <c r="B18" s="82" t="s">
        <v>2260</v>
      </c>
      <c r="C18" s="24" t="s">
        <v>2146</v>
      </c>
      <c r="D18" s="25" t="str">
        <f>RIGHT(D8,2)</f>
        <v>±5</v>
      </c>
      <c r="E18" s="25" t="str">
        <f>RIGHT(E8,2)</f>
        <v>±5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195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187"/>
      <c r="AG18" s="187"/>
    </row>
    <row r="19" s="150" customFormat="1" ht="18" customHeight="1" spans="1:33">
      <c r="A19" s="30">
        <v>19</v>
      </c>
      <c r="B19" s="82" t="s">
        <v>2261</v>
      </c>
      <c r="C19" s="24" t="s">
        <v>2262</v>
      </c>
      <c r="D19" s="58">
        <v>8</v>
      </c>
      <c r="E19" s="58">
        <v>8</v>
      </c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19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187"/>
      <c r="AG19" s="187"/>
    </row>
    <row r="20" s="148" customFormat="1" ht="18" customHeight="1" spans="1:33">
      <c r="A20" s="30">
        <v>20</v>
      </c>
      <c r="B20" s="82" t="s">
        <v>2263</v>
      </c>
      <c r="C20" s="24" t="s">
        <v>2264</v>
      </c>
      <c r="D20" s="202">
        <f>1.01*D15+(2500+1.84*D15)*(D19/1000)</f>
        <v>43.56856</v>
      </c>
      <c r="E20" s="202">
        <f>1.01*E15+(2500+1.84*E15)*(E19/1000)</f>
        <v>43.56856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19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193"/>
      <c r="AG20" s="193"/>
    </row>
    <row r="21" s="150" customFormat="1" ht="18" customHeight="1" spans="1:33">
      <c r="A21" s="30">
        <v>21</v>
      </c>
      <c r="B21" s="82" t="s">
        <v>2265</v>
      </c>
      <c r="C21" s="184" t="s">
        <v>2133</v>
      </c>
      <c r="D21" s="58">
        <v>10.3</v>
      </c>
      <c r="E21" s="58">
        <v>10.3</v>
      </c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19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="153" customFormat="1" ht="18" customHeight="1" spans="1:33">
      <c r="A22" s="196"/>
      <c r="B22" s="166" t="s">
        <v>2266</v>
      </c>
      <c r="C22" s="203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204"/>
      <c r="AG22" s="204"/>
    </row>
    <row r="23" s="150" customFormat="1" ht="18" customHeight="1" spans="1:33">
      <c r="A23" s="24">
        <v>22</v>
      </c>
      <c r="B23" s="82" t="s">
        <v>2267</v>
      </c>
      <c r="C23" s="24" t="s">
        <v>2133</v>
      </c>
      <c r="D23" s="25" t="str">
        <f>D15</f>
        <v>23</v>
      </c>
      <c r="E23" s="25" t="str">
        <f t="shared" ref="E23:E27" si="1">E15</f>
        <v>23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195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24"/>
      <c r="AG23" s="24"/>
    </row>
    <row r="24" s="150" customFormat="1" ht="18" customHeight="1" spans="1:33">
      <c r="A24" s="24">
        <v>23</v>
      </c>
      <c r="B24" s="82" t="s">
        <v>2268</v>
      </c>
      <c r="C24" s="24" t="s">
        <v>2133</v>
      </c>
      <c r="D24" s="25" t="str">
        <f>D16</f>
        <v>2</v>
      </c>
      <c r="E24" s="25" t="str">
        <f t="shared" si="1"/>
        <v>2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195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24"/>
      <c r="AG24" s="24"/>
    </row>
    <row r="25" s="150" customFormat="1" ht="18" customHeight="1" spans="1:33">
      <c r="A25" s="24">
        <v>24</v>
      </c>
      <c r="B25" s="82" t="s">
        <v>2269</v>
      </c>
      <c r="C25" s="24" t="s">
        <v>2146</v>
      </c>
      <c r="D25" s="25" t="str">
        <f>D17</f>
        <v>45</v>
      </c>
      <c r="E25" s="25" t="str">
        <f t="shared" si="1"/>
        <v>45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195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24"/>
      <c r="AG25" s="24"/>
    </row>
    <row r="26" s="148" customFormat="1" ht="18" customHeight="1" spans="1:33">
      <c r="A26" s="24">
        <v>25</v>
      </c>
      <c r="B26" s="82" t="s">
        <v>2270</v>
      </c>
      <c r="C26" s="24" t="s">
        <v>2146</v>
      </c>
      <c r="D26" s="25" t="str">
        <f>D18</f>
        <v>±5</v>
      </c>
      <c r="E26" s="25" t="str">
        <f t="shared" si="1"/>
        <v>±5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195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24"/>
      <c r="AG26" s="24"/>
    </row>
    <row r="27" s="150" customFormat="1" ht="18" customHeight="1" spans="1:33">
      <c r="A27" s="24">
        <v>26</v>
      </c>
      <c r="B27" s="82" t="s">
        <v>2271</v>
      </c>
      <c r="C27" s="24" t="s">
        <v>2262</v>
      </c>
      <c r="D27" s="25">
        <f>D19</f>
        <v>8</v>
      </c>
      <c r="E27" s="25">
        <f t="shared" si="1"/>
        <v>8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195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24"/>
      <c r="AG27" s="24"/>
    </row>
    <row r="28" s="148" customFormat="1" ht="18" customHeight="1" spans="1:33">
      <c r="A28" s="24">
        <v>27</v>
      </c>
      <c r="B28" s="82" t="s">
        <v>2272</v>
      </c>
      <c r="C28" s="24" t="s">
        <v>2264</v>
      </c>
      <c r="D28" s="202">
        <f>1.01*D23+(2500+1.84*D23)*(D27/1000)</f>
        <v>43.56856</v>
      </c>
      <c r="E28" s="202">
        <f>1.01*E23+(2500+1.84*E23)*(E27/1000)</f>
        <v>43.56856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195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24"/>
      <c r="AG28" s="24"/>
    </row>
    <row r="29" s="150" customFormat="1" ht="18" customHeight="1" spans="1:33">
      <c r="A29" s="24">
        <v>28</v>
      </c>
      <c r="B29" s="82" t="s">
        <v>2237</v>
      </c>
      <c r="C29" s="24" t="s">
        <v>2133</v>
      </c>
      <c r="D29" s="25">
        <f>D21</f>
        <v>10.3</v>
      </c>
      <c r="E29" s="25">
        <f>E21</f>
        <v>10.3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195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24"/>
      <c r="AG29" s="24"/>
    </row>
    <row r="30" s="148" customFormat="1" ht="18" customHeight="1" spans="1:33">
      <c r="A30" s="24"/>
      <c r="B30" s="82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</row>
    <row r="31" s="153" customFormat="1" ht="18" customHeight="1" spans="1:33">
      <c r="A31" s="196"/>
      <c r="B31" s="166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200"/>
    </row>
    <row r="32" s="154" customFormat="1" ht="29" customHeight="1" spans="1:33">
      <c r="A32" s="30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206"/>
      <c r="AG32" s="206"/>
    </row>
    <row r="33" s="154" customFormat="1" ht="18" customHeight="1" spans="1:33">
      <c r="A33" s="30"/>
      <c r="C33" s="149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206"/>
      <c r="AG33" s="206"/>
    </row>
    <row r="34" s="154" customFormat="1" ht="18" customHeight="1" spans="1:33">
      <c r="A34" s="30"/>
      <c r="C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206"/>
      <c r="AG34" s="206"/>
    </row>
    <row r="35" s="154" customFormat="1" ht="18" customHeight="1" spans="1:33">
      <c r="A35" s="24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206"/>
      <c r="AG35" s="206"/>
    </row>
    <row r="36" s="154" customFormat="1" ht="18" customHeight="1" spans="1:33">
      <c r="A36" s="30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206"/>
      <c r="AG36" s="206"/>
    </row>
    <row r="37" s="154" customFormat="1" ht="18" customHeight="1" spans="1:33">
      <c r="A37" s="30"/>
      <c r="C37" s="148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206"/>
      <c r="AG37" s="206"/>
    </row>
    <row r="38" s="154" customFormat="1" ht="18" customHeight="1" spans="1:33">
      <c r="A38" s="155"/>
      <c r="C38" s="148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206"/>
      <c r="AG38" s="206"/>
    </row>
    <row r="39" s="154" customFormat="1" ht="18" customHeight="1" spans="1:33">
      <c r="A39" s="155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206"/>
      <c r="AG39" s="206"/>
    </row>
    <row r="40" s="148" customFormat="1" ht="18" customHeight="1" spans="1:33">
      <c r="A40" s="155"/>
      <c r="B40" s="154"/>
    </row>
    <row r="41" s="148" customFormat="1" ht="18" customHeight="1" spans="1:33">
      <c r="A41" s="155"/>
      <c r="B41" s="154"/>
    </row>
    <row r="42" s="148" customFormat="1" ht="18" customHeight="1" spans="1:33">
      <c r="A42" s="155"/>
      <c r="B42" s="154"/>
    </row>
    <row r="43" s="148" customFormat="1" ht="18" customHeight="1" spans="1:33">
      <c r="A43" s="155"/>
      <c r="B43" s="154"/>
    </row>
    <row r="44" s="148" customFormat="1" ht="18" customHeight="1" spans="1:33">
      <c r="A44" s="155"/>
      <c r="B44" s="154"/>
    </row>
    <row r="45" s="148" customFormat="1" ht="18" customHeight="1" spans="1:33">
      <c r="A45" s="155"/>
      <c r="B45" s="154"/>
    </row>
    <row r="46" s="148" customFormat="1" ht="18" customHeight="1" spans="1:33">
      <c r="A46" s="155"/>
      <c r="B46" s="154"/>
    </row>
  </sheetData>
  <sheetProtection formatColumns="0" formatRows="0" insertRows="0" insertColumns="0" insertHyperlinks="0" deleteColumns="0" deleteRows="0" sort="0" autoFilter="0" pivotTables="0"/>
  <hyperlinks>
    <hyperlink ref="A2" location="'0-List'!A1" display="序号"/>
  </hyperlinks>
  <pageMargins left="0.708661417322835" right="0.708661417322835" top="0.748031496062992" bottom="0.748031496062992" header="0.31496062992126" footer="0.31496062992126"/>
  <pageSetup paperSize="9" scale="66" orientation="landscape"/>
  <headerFooter>
    <oddHeader>&amp;C&amp;F</oddHeader>
    <oddFooter>&amp;C&amp;F&amp;R 第 &amp;P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36"/>
  <sheetViews>
    <sheetView tabSelected="1" view="pageBreakPreview" zoomScale="85" zoomScaleNormal="100" workbookViewId="0">
      <pane xSplit="3" ySplit="4" topLeftCell="D5" activePane="bottomRight" state="frozen"/>
      <selection/>
      <selection pane="topRight"/>
      <selection pane="bottomLeft"/>
      <selection pane="bottomRight" activeCell="G8" sqref="G8"/>
    </sheetView>
  </sheetViews>
  <sheetFormatPr defaultColWidth="8.56666666666667" defaultRowHeight="15.75" customHeight="1"/>
  <cols>
    <col min="1" max="1" width="5.25" style="11" customWidth="1"/>
    <col min="2" max="2" width="21.0666666666667" style="17" customWidth="1"/>
    <col min="3" max="3" width="5" style="11" customWidth="1"/>
    <col min="4" max="8" width="9.31666666666667" style="11" customWidth="1"/>
    <col min="9" max="11" width="9.31666666666667" style="18" customWidth="1"/>
    <col min="12" max="12" width="13" style="19" customWidth="1"/>
    <col min="13" max="13" width="7.75" style="11" customWidth="1"/>
    <col min="14" max="14" width="18.0666666666667" style="11" customWidth="1"/>
    <col min="15" max="234" width="8.56666666666667" style="19"/>
    <col min="235" max="235" width="8.56666666666667" style="11"/>
    <col min="236" max="248" width="8.56666666666667" style="19"/>
    <col min="249" max="255" width="8.56666666666667" style="11"/>
  </cols>
  <sheetData>
    <row r="1" s="1" customFormat="1" customHeight="1" spans="1:256">
      <c r="A1" s="20" t="s">
        <v>2102</v>
      </c>
      <c r="B1" s="17"/>
      <c r="C1" s="11"/>
      <c r="D1" s="11"/>
      <c r="E1" s="11"/>
      <c r="F1" s="11"/>
      <c r="G1" s="11"/>
      <c r="H1" s="11"/>
      <c r="I1" s="11"/>
      <c r="J1" s="11"/>
      <c r="K1" s="11"/>
      <c r="L1" s="21"/>
      <c r="M1" s="11"/>
      <c r="N1" s="11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1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1"/>
      <c r="IP1" s="11"/>
    </row>
    <row r="2" ht="20.2" customHeight="1" spans="1:256">
      <c r="A2" s="22" t="s">
        <v>2114</v>
      </c>
      <c r="B2" s="23" t="s">
        <v>2227</v>
      </c>
      <c r="C2" s="24"/>
      <c r="D2" s="25" t="str">
        <f>'2-室内房间参数'!D3</f>
        <v>2F-01</v>
      </c>
      <c r="E2" s="25" t="str">
        <f>'2-室内房间参数'!E3</f>
        <v>2F-02</v>
      </c>
      <c r="F2" s="25">
        <f>'2-室内房间参数'!F3</f>
        <v>0</v>
      </c>
      <c r="G2" s="25">
        <f>'2-室内房间参数'!G3</f>
        <v>0</v>
      </c>
      <c r="H2" s="25">
        <f>'2-室内房间参数'!H3</f>
        <v>0</v>
      </c>
      <c r="I2" s="25"/>
      <c r="J2" s="26"/>
      <c r="K2" s="26"/>
      <c r="L2" s="27"/>
      <c r="M2" s="28"/>
      <c r="N2" s="29"/>
    </row>
    <row r="3" s="2" customFormat="1" ht="35.25" customHeight="1" spans="1:256">
      <c r="A3" s="30">
        <v>2</v>
      </c>
      <c r="B3" s="31" t="s">
        <v>2273</v>
      </c>
      <c r="C3" s="31" t="s">
        <v>2274</v>
      </c>
      <c r="D3" s="25">
        <f>'2-室内房间参数'!D4</f>
        <v>1</v>
      </c>
      <c r="E3" s="25">
        <f>'2-室内房间参数'!E4</f>
        <v>1</v>
      </c>
      <c r="F3" s="25">
        <f>'2-室内房间参数'!F4</f>
        <v>0</v>
      </c>
      <c r="G3" s="25">
        <f>'2-室内房间参数'!G4</f>
        <v>0</v>
      </c>
      <c r="H3" s="25">
        <f>'2-室内房间参数'!H4</f>
        <v>0</v>
      </c>
      <c r="I3" s="25"/>
      <c r="J3" s="26"/>
      <c r="K3" s="26"/>
      <c r="L3" s="32" t="s">
        <v>2275</v>
      </c>
      <c r="M3" s="33"/>
      <c r="N3" s="34" t="s">
        <v>2276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1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1"/>
      <c r="IP3" s="11"/>
    </row>
    <row r="4" ht="15" customHeight="1" spans="1:256">
      <c r="A4" s="24"/>
      <c r="B4" s="35" t="s">
        <v>2277</v>
      </c>
      <c r="C4" s="24" t="s">
        <v>2278</v>
      </c>
      <c r="D4" s="25">
        <f>'2-室内房间参数'!D5</f>
        <v>288</v>
      </c>
      <c r="E4" s="25">
        <f>'2-室内房间参数'!E5</f>
        <v>288</v>
      </c>
      <c r="F4" s="25">
        <f>'2-室内房间参数'!F5</f>
        <v>0</v>
      </c>
      <c r="G4" s="25">
        <f>'2-室内房间参数'!G5</f>
        <v>0</v>
      </c>
      <c r="H4" s="25">
        <f>'2-室内房间参数'!H5</f>
        <v>0</v>
      </c>
      <c r="I4" s="25"/>
      <c r="J4" s="26"/>
      <c r="K4" s="26"/>
      <c r="L4" s="36">
        <f>SUM(D4:E4)</f>
        <v>576</v>
      </c>
      <c r="M4" s="37"/>
      <c r="N4" s="38"/>
    </row>
    <row r="5" ht="15" customHeight="1" spans="1:256">
      <c r="A5" s="30"/>
      <c r="B5" s="35" t="s">
        <v>2279</v>
      </c>
      <c r="C5" s="24" t="s">
        <v>2125</v>
      </c>
      <c r="D5" s="25">
        <f>'2-室内房间参数'!D6</f>
        <v>3</v>
      </c>
      <c r="E5" s="25">
        <f>'2-室内房间参数'!E6</f>
        <v>3</v>
      </c>
      <c r="F5" s="25">
        <f>'2-室内房间参数'!F6</f>
        <v>0</v>
      </c>
      <c r="G5" s="25">
        <f>'2-室内房间参数'!G6</f>
        <v>0</v>
      </c>
      <c r="H5" s="25">
        <f>'2-室内房间参数'!H6</f>
        <v>0</v>
      </c>
      <c r="I5" s="25"/>
      <c r="J5" s="26"/>
      <c r="K5" s="26"/>
      <c r="L5" s="36"/>
      <c r="M5" s="37"/>
      <c r="N5" s="29"/>
    </row>
    <row r="6" ht="15" customHeight="1" spans="1:256">
      <c r="A6" s="30"/>
      <c r="B6" s="35" t="s">
        <v>2280</v>
      </c>
      <c r="C6" s="24" t="s">
        <v>2281</v>
      </c>
      <c r="D6" s="25" t="str">
        <f>'2-室内房间参数'!D15</f>
        <v>23</v>
      </c>
      <c r="E6" s="25" t="str">
        <f>'2-室内房间参数'!E15</f>
        <v>23</v>
      </c>
      <c r="F6" s="25" t="str">
        <f>'2-室内房间参数'!F15</f>
        <v/>
      </c>
      <c r="G6" s="25">
        <f>'2-室内房间参数'!G15</f>
        <v>0</v>
      </c>
      <c r="H6" s="25">
        <f>'2-室内房间参数'!H15</f>
        <v>0</v>
      </c>
      <c r="I6" s="25"/>
      <c r="J6" s="39"/>
      <c r="K6" s="26"/>
      <c r="L6" s="36"/>
      <c r="M6" s="37"/>
      <c r="N6" s="29"/>
    </row>
    <row r="7" ht="15" customHeight="1" spans="1:256">
      <c r="A7" s="30"/>
      <c r="B7" s="35" t="s">
        <v>2282</v>
      </c>
      <c r="C7" s="24" t="s">
        <v>2146</v>
      </c>
      <c r="D7" s="25" t="str">
        <f>'2-室内房间参数'!D17</f>
        <v>45</v>
      </c>
      <c r="E7" s="25" t="str">
        <f>'2-室内房间参数'!E17</f>
        <v>45</v>
      </c>
      <c r="F7" s="25">
        <f>'2-室内房间参数'!F17</f>
        <v>0</v>
      </c>
      <c r="G7" s="25">
        <f>'2-室内房间参数'!G17</f>
        <v>0</v>
      </c>
      <c r="H7" s="25">
        <f>'2-室内房间参数'!H17</f>
        <v>0</v>
      </c>
      <c r="I7" s="25"/>
      <c r="J7" s="26"/>
      <c r="K7" s="26"/>
      <c r="L7" s="36"/>
      <c r="M7" s="37"/>
      <c r="N7" s="29"/>
    </row>
    <row r="8" ht="15" customHeight="1" spans="1:256">
      <c r="A8" s="24"/>
      <c r="B8" s="35" t="s">
        <v>2283</v>
      </c>
      <c r="C8" s="24" t="s">
        <v>2246</v>
      </c>
      <c r="D8" s="25" t="str">
        <f>'2-室内房间参数'!D9</f>
        <v>ISO5.0</v>
      </c>
      <c r="E8" s="25" t="str">
        <f>'2-室内房间参数'!E9</f>
        <v>ISO5.0</v>
      </c>
      <c r="F8" s="25">
        <f>'2-室内房间参数'!F9</f>
        <v>0</v>
      </c>
      <c r="G8" s="25">
        <f>'2-室内房间参数'!G9</f>
        <v>0</v>
      </c>
      <c r="H8" s="25">
        <f>'2-室内房间参数'!H9</f>
        <v>0</v>
      </c>
      <c r="I8" s="25"/>
      <c r="J8" s="26"/>
      <c r="K8" s="26"/>
      <c r="L8" s="36"/>
      <c r="M8" s="37"/>
      <c r="N8" s="29"/>
    </row>
    <row r="9" ht="15" customHeight="1" spans="1:256">
      <c r="A9" s="30"/>
      <c r="B9" s="35" t="s">
        <v>2284</v>
      </c>
      <c r="C9" s="24" t="s">
        <v>2249</v>
      </c>
      <c r="D9" s="25">
        <f>'2-室内房间参数'!D10</f>
        <v>0.5</v>
      </c>
      <c r="E9" s="25">
        <f>'2-室内房间参数'!E10</f>
        <v>0.5</v>
      </c>
      <c r="F9" s="25">
        <f>'2-室内房间参数'!F10</f>
        <v>0</v>
      </c>
      <c r="G9" s="25">
        <f>'2-室内房间参数'!G10</f>
        <v>0</v>
      </c>
      <c r="H9" s="25">
        <f>'2-室内房间参数'!H10</f>
        <v>0</v>
      </c>
      <c r="I9" s="25"/>
      <c r="J9" s="26"/>
      <c r="K9" s="26"/>
      <c r="L9" s="40"/>
      <c r="M9" s="41"/>
      <c r="N9" s="29"/>
    </row>
    <row r="10" ht="15" customHeight="1" spans="1:256">
      <c r="A10" s="24"/>
      <c r="B10" s="35" t="s">
        <v>2285</v>
      </c>
      <c r="C10" s="24" t="s">
        <v>2251</v>
      </c>
      <c r="D10" s="25">
        <f>'2-室内房间参数'!D11</f>
        <v>20</v>
      </c>
      <c r="E10" s="25">
        <f>'2-室内房间参数'!E11</f>
        <v>20</v>
      </c>
      <c r="F10" s="25">
        <f>'2-室内房间参数'!F11</f>
        <v>0</v>
      </c>
      <c r="G10" s="25">
        <f>'2-室内房间参数'!G11</f>
        <v>0</v>
      </c>
      <c r="H10" s="25">
        <f>'2-室内房间参数'!H11</f>
        <v>0</v>
      </c>
      <c r="I10" s="25"/>
      <c r="J10" s="26"/>
      <c r="K10" s="26"/>
      <c r="L10" s="40"/>
      <c r="M10" s="37"/>
      <c r="N10" s="29"/>
    </row>
    <row r="11" ht="15" customHeight="1" spans="1:256">
      <c r="A11" s="24"/>
      <c r="B11" s="35" t="s">
        <v>2286</v>
      </c>
      <c r="C11" s="24" t="s">
        <v>2262</v>
      </c>
      <c r="D11" s="25">
        <f>'2-室内房间参数'!D19</f>
        <v>8</v>
      </c>
      <c r="E11" s="25">
        <f>'2-室内房间参数'!E19</f>
        <v>8</v>
      </c>
      <c r="F11" s="25">
        <f>'2-室内房间参数'!F19</f>
        <v>0</v>
      </c>
      <c r="G11" s="25">
        <f>'2-室内房间参数'!G19</f>
        <v>0</v>
      </c>
      <c r="H11" s="25">
        <f>'2-室内房间参数'!H19</f>
        <v>0</v>
      </c>
      <c r="I11" s="25"/>
      <c r="J11" s="26"/>
      <c r="K11" s="26"/>
      <c r="L11" s="42">
        <f>D11</f>
        <v>8</v>
      </c>
      <c r="M11" s="37"/>
      <c r="N11" s="43"/>
    </row>
    <row r="12" s="3" customFormat="1" ht="15" customHeight="1" spans="1:256">
      <c r="A12" s="44"/>
      <c r="B12" s="45" t="s">
        <v>2287</v>
      </c>
      <c r="C12" s="46" t="s">
        <v>2264</v>
      </c>
      <c r="D12" s="47">
        <f>'2-室内房间参数'!D20</f>
        <v>43.56856</v>
      </c>
      <c r="E12" s="47">
        <f>'2-室内房间参数'!E20</f>
        <v>43.56856</v>
      </c>
      <c r="F12" s="47">
        <f>'2-室内房间参数'!F20</f>
        <v>0</v>
      </c>
      <c r="G12" s="47">
        <f>'2-室内房间参数'!G20</f>
        <v>0</v>
      </c>
      <c r="H12" s="47">
        <f>'2-室内房间参数'!H20</f>
        <v>0</v>
      </c>
      <c r="I12" s="47"/>
      <c r="J12" s="48"/>
      <c r="K12" s="48"/>
      <c r="L12" s="48">
        <f>D12</f>
        <v>43.56856</v>
      </c>
      <c r="M12" s="49"/>
      <c r="N12" s="50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/>
      <c r="EX12" s="51"/>
      <c r="EY12" s="51"/>
      <c r="EZ12" s="51"/>
      <c r="FA12" s="51"/>
      <c r="FB12" s="51"/>
      <c r="FC12" s="51"/>
      <c r="FD12" s="51"/>
      <c r="FE12" s="51"/>
      <c r="FF12" s="51"/>
      <c r="FG12" s="51"/>
      <c r="FH12" s="51"/>
      <c r="FI12" s="51"/>
      <c r="FJ12" s="51"/>
      <c r="FK12" s="51"/>
      <c r="FL12" s="51"/>
      <c r="FM12" s="51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1"/>
      <c r="HA12" s="51"/>
      <c r="HB12" s="51"/>
      <c r="HC12" s="51"/>
      <c r="HD12" s="51"/>
      <c r="HE12" s="51"/>
      <c r="HF12" s="51"/>
      <c r="HG12" s="51"/>
      <c r="HH12" s="51"/>
      <c r="HI12" s="51"/>
      <c r="HJ12" s="51"/>
      <c r="HK12" s="51"/>
      <c r="HL12" s="51"/>
      <c r="HM12" s="51"/>
      <c r="HN12" s="51"/>
      <c r="HO12" s="51"/>
      <c r="HP12" s="51"/>
      <c r="HQ12" s="51"/>
      <c r="HR12" s="51"/>
      <c r="HS12" s="51"/>
      <c r="HT12" s="51"/>
      <c r="HU12" s="51"/>
      <c r="HV12" s="51"/>
      <c r="HW12" s="51"/>
      <c r="HX12" s="51"/>
      <c r="HY12" s="51"/>
      <c r="HZ12" s="51"/>
      <c r="IA12" s="52"/>
      <c r="IB12" s="51"/>
      <c r="IC12" s="51"/>
      <c r="ID12" s="51"/>
      <c r="IE12" s="51"/>
      <c r="IF12" s="51"/>
      <c r="IG12" s="51"/>
      <c r="IH12" s="51"/>
      <c r="II12" s="51"/>
      <c r="IJ12" s="51"/>
      <c r="IK12" s="51"/>
      <c r="IL12" s="51"/>
      <c r="IM12" s="51"/>
      <c r="IN12" s="51"/>
      <c r="IO12" s="52"/>
      <c r="IP12" s="52"/>
      <c r="IQ12" s="52"/>
      <c r="IR12" s="52"/>
      <c r="IS12" s="52"/>
      <c r="IT12" s="52"/>
      <c r="IU12" s="52"/>
      <c r="IV12" s="52"/>
    </row>
    <row r="13" s="4" customFormat="1" ht="15" customHeight="1" spans="1:256">
      <c r="A13" s="24"/>
      <c r="B13" s="35" t="s">
        <v>2288</v>
      </c>
      <c r="C13" s="24" t="s">
        <v>2281</v>
      </c>
      <c r="D13" s="25">
        <f>'2-室内房间参数'!D21</f>
        <v>10.3</v>
      </c>
      <c r="E13" s="25">
        <f>'2-室内房间参数'!E21</f>
        <v>10.3</v>
      </c>
      <c r="F13" s="25">
        <f>'2-室内房间参数'!F21</f>
        <v>0</v>
      </c>
      <c r="G13" s="25">
        <f>'2-室内房间参数'!G21</f>
        <v>0</v>
      </c>
      <c r="H13" s="25">
        <f>'2-室内房间参数'!H21</f>
        <v>0</v>
      </c>
      <c r="I13" s="25"/>
      <c r="J13" s="26"/>
      <c r="K13" s="26"/>
      <c r="L13" s="42">
        <f>D13</f>
        <v>10.3</v>
      </c>
      <c r="M13" s="37"/>
      <c r="N13" s="2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1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1"/>
      <c r="IP13" s="11"/>
    </row>
    <row r="14" ht="15" customHeight="1" spans="1:256">
      <c r="A14" s="30"/>
      <c r="B14" s="35" t="s">
        <v>2289</v>
      </c>
      <c r="C14" s="24" t="s">
        <v>2290</v>
      </c>
      <c r="D14" s="53"/>
      <c r="E14" s="53"/>
      <c r="F14" s="53"/>
      <c r="G14" s="53"/>
      <c r="H14" s="53"/>
      <c r="I14" s="53"/>
      <c r="J14" s="53"/>
      <c r="K14" s="53"/>
      <c r="L14" s="36"/>
      <c r="M14" s="37"/>
      <c r="N14" s="54" t="s">
        <v>2291</v>
      </c>
    </row>
    <row r="15" ht="15" customHeight="1" spans="1:256">
      <c r="A15" s="24"/>
      <c r="B15" s="35" t="s">
        <v>2292</v>
      </c>
      <c r="C15" s="24" t="s">
        <v>2293</v>
      </c>
      <c r="D15" s="55"/>
      <c r="E15" s="55"/>
      <c r="F15" s="55"/>
      <c r="G15" s="55"/>
      <c r="H15" s="55"/>
      <c r="I15" s="55"/>
      <c r="J15" s="55"/>
      <c r="K15" s="55"/>
      <c r="L15" s="36"/>
      <c r="M15" s="37"/>
      <c r="N15" s="54" t="s">
        <v>2291</v>
      </c>
    </row>
    <row r="16" ht="15" customHeight="1" spans="1:256">
      <c r="A16" s="30"/>
      <c r="B16" s="35" t="s">
        <v>2294</v>
      </c>
      <c r="C16" s="24" t="s">
        <v>2295</v>
      </c>
      <c r="D16" s="56">
        <f>MAX(D15*D4*3600,D4*D5*D14)</f>
        <v>0</v>
      </c>
      <c r="E16" s="56">
        <f>MAX(E15*E4*3600,E4*E5*E14)</f>
        <v>0</v>
      </c>
      <c r="F16" s="56">
        <f>MAX(F15*F4*3600,F4*F5*F14)</f>
        <v>0</v>
      </c>
      <c r="G16" s="56">
        <f>MAX(G15*G4*3600,G4*G5*G14)</f>
        <v>0</v>
      </c>
      <c r="H16" s="56">
        <f>MAX(H15*H4*3600,H4*H5*H14)</f>
        <v>0</v>
      </c>
      <c r="I16" s="56"/>
      <c r="J16" s="56"/>
      <c r="K16" s="56"/>
      <c r="L16" s="36">
        <f t="shared" ref="L16:L24" si="0">SUM(D16:E16)</f>
        <v>0</v>
      </c>
      <c r="M16" s="37"/>
      <c r="N16" s="29"/>
    </row>
    <row r="17" ht="15" customHeight="1" spans="1:250">
      <c r="A17" s="24"/>
      <c r="B17" s="35" t="s">
        <v>2296</v>
      </c>
      <c r="C17" s="24" t="s">
        <v>2146</v>
      </c>
      <c r="D17" s="57">
        <f>D16/3600/(D4*D74)</f>
        <v>0</v>
      </c>
      <c r="E17" s="57">
        <f>E16/3600/(E4*E74)</f>
        <v>0</v>
      </c>
      <c r="F17" s="57" t="e">
        <f>F16/3600/(F4*F74)</f>
        <v>#DIV/0!</v>
      </c>
      <c r="G17" s="57" t="e">
        <f>G16/3600/(G4*G74)</f>
        <v>#DIV/0!</v>
      </c>
      <c r="H17" s="57" t="e">
        <f>H16/3600/(H4*H74)</f>
        <v>#DIV/0!</v>
      </c>
      <c r="I17" s="57"/>
      <c r="J17" s="57"/>
      <c r="K17" s="57"/>
      <c r="L17" s="36"/>
      <c r="M17" s="37"/>
      <c r="N17" s="29"/>
    </row>
    <row r="18" ht="15" customHeight="1" spans="1:250">
      <c r="A18" s="30"/>
      <c r="B18" s="35" t="s">
        <v>2297</v>
      </c>
      <c r="C18" s="24" t="s">
        <v>2298</v>
      </c>
      <c r="D18" s="58"/>
      <c r="E18" s="58"/>
      <c r="F18" s="58"/>
      <c r="G18" s="58"/>
      <c r="H18" s="58"/>
      <c r="I18" s="58"/>
      <c r="J18" s="58"/>
      <c r="K18" s="58"/>
      <c r="L18" s="36"/>
      <c r="M18" s="59"/>
      <c r="N18" s="54"/>
    </row>
    <row r="19" ht="15" customHeight="1" spans="1:250">
      <c r="A19" s="24"/>
      <c r="B19" s="60" t="s">
        <v>2299</v>
      </c>
      <c r="C19" s="24" t="s">
        <v>2295</v>
      </c>
      <c r="D19" s="53"/>
      <c r="E19" s="53"/>
      <c r="F19" s="53"/>
      <c r="G19" s="53"/>
      <c r="H19" s="53"/>
      <c r="I19" s="53"/>
      <c r="J19" s="53"/>
      <c r="K19" s="53"/>
      <c r="L19" s="36">
        <f>SUM(D19:E19)</f>
        <v>0</v>
      </c>
      <c r="M19" s="37"/>
      <c r="N19" s="29"/>
    </row>
    <row r="20" ht="15" customHeight="1" spans="1:250">
      <c r="A20" s="30"/>
      <c r="B20" s="60" t="s">
        <v>2300</v>
      </c>
      <c r="C20" s="24" t="s">
        <v>2295</v>
      </c>
      <c r="D20" s="53"/>
      <c r="E20" s="53"/>
      <c r="F20" s="53"/>
      <c r="G20" s="53"/>
      <c r="H20" s="53"/>
      <c r="I20" s="53"/>
      <c r="J20" s="53"/>
      <c r="K20" s="53"/>
      <c r="L20" s="36">
        <f t="shared" si="0"/>
        <v>0</v>
      </c>
      <c r="M20" s="37"/>
      <c r="N20" s="29"/>
    </row>
    <row r="21" s="4" customFormat="1" ht="15" customHeight="1" spans="1:250">
      <c r="A21" s="24"/>
      <c r="B21" s="60" t="s">
        <v>2301</v>
      </c>
      <c r="C21" s="24" t="s">
        <v>2295</v>
      </c>
      <c r="D21" s="53"/>
      <c r="E21" s="53"/>
      <c r="F21" s="53"/>
      <c r="G21" s="53"/>
      <c r="H21" s="53"/>
      <c r="I21" s="53"/>
      <c r="J21" s="53"/>
      <c r="K21" s="53"/>
      <c r="L21" s="36">
        <f t="shared" si="0"/>
        <v>0</v>
      </c>
      <c r="M21" s="37"/>
      <c r="N21" s="2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1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1"/>
      <c r="IP21" s="11"/>
    </row>
    <row r="22" ht="15" customHeight="1" spans="1:250">
      <c r="A22" s="30"/>
      <c r="B22" s="60" t="s">
        <v>2302</v>
      </c>
      <c r="C22" s="24" t="s">
        <v>2295</v>
      </c>
      <c r="D22" s="53"/>
      <c r="E22" s="53"/>
      <c r="F22" s="53"/>
      <c r="G22" s="53"/>
      <c r="H22" s="53"/>
      <c r="I22" s="53"/>
      <c r="J22" s="53"/>
      <c r="K22" s="53"/>
      <c r="L22" s="36">
        <f t="shared" si="0"/>
        <v>0</v>
      </c>
      <c r="M22" s="37"/>
      <c r="N22" s="29"/>
    </row>
    <row r="23" ht="15" customHeight="1" spans="1:250">
      <c r="A23" s="30"/>
      <c r="B23" s="60" t="s">
        <v>2303</v>
      </c>
      <c r="C23" s="24" t="s">
        <v>2295</v>
      </c>
      <c r="D23" s="61"/>
      <c r="E23" s="61"/>
      <c r="F23" s="61"/>
      <c r="G23" s="61"/>
      <c r="H23" s="61"/>
      <c r="I23" s="61"/>
      <c r="J23" s="61"/>
      <c r="K23" s="61"/>
      <c r="L23" s="36">
        <f t="shared" si="0"/>
        <v>0</v>
      </c>
      <c r="M23" s="37"/>
      <c r="N23" s="29"/>
    </row>
    <row r="24" ht="15" customHeight="1" spans="1:250">
      <c r="A24" s="24"/>
      <c r="B24" s="60" t="s">
        <v>2304</v>
      </c>
      <c r="C24" s="24" t="s">
        <v>2295</v>
      </c>
      <c r="D24" s="56">
        <f>D4*D5*1.2*(D10/10)^0.5</f>
        <v>1466.25662146843</v>
      </c>
      <c r="E24" s="56">
        <f>E4*E5*1.2*(E10/10)^0.5</f>
        <v>1466.25662146843</v>
      </c>
      <c r="F24" s="56">
        <f>F4*F5*1.2*(F10/10)^0.5</f>
        <v>0</v>
      </c>
      <c r="G24" s="56">
        <f>G4*G5*1.2*(G10/10)^0.5</f>
        <v>0</v>
      </c>
      <c r="H24" s="56">
        <f>H4*H5*1.2*(H10/10)^0.5</f>
        <v>0</v>
      </c>
      <c r="I24" s="56"/>
      <c r="J24" s="56"/>
      <c r="K24" s="56"/>
      <c r="L24" s="36">
        <f t="shared" si="0"/>
        <v>2932.51324293685</v>
      </c>
      <c r="M24" s="37"/>
      <c r="N24" s="29"/>
    </row>
    <row r="25" ht="15" customHeight="1" spans="1:250">
      <c r="A25" s="24"/>
      <c r="B25" s="60" t="s">
        <v>2305</v>
      </c>
      <c r="C25" s="24"/>
      <c r="D25" s="62"/>
      <c r="E25" s="62"/>
      <c r="F25" s="62"/>
      <c r="G25" s="62"/>
      <c r="H25" s="62"/>
      <c r="I25" s="62"/>
      <c r="J25" s="62"/>
      <c r="K25" s="62"/>
      <c r="L25" s="36"/>
      <c r="M25" s="37"/>
      <c r="N25" s="29"/>
    </row>
    <row r="26" ht="15" customHeight="1" spans="1:250">
      <c r="A26" s="24"/>
      <c r="B26" s="60" t="s">
        <v>2306</v>
      </c>
      <c r="C26" s="24" t="s">
        <v>2295</v>
      </c>
      <c r="D26" s="56">
        <f>D25*D4*D5</f>
        <v>0</v>
      </c>
      <c r="E26" s="56">
        <f>E25*E4*E5</f>
        <v>0</v>
      </c>
      <c r="F26" s="56">
        <f>F25*F4*F5</f>
        <v>0</v>
      </c>
      <c r="G26" s="56">
        <f>G25*G4*G5</f>
        <v>0</v>
      </c>
      <c r="H26" s="56">
        <f>H25*H4*H5</f>
        <v>0</v>
      </c>
      <c r="I26" s="56"/>
      <c r="J26" s="56"/>
      <c r="K26" s="56"/>
      <c r="L26" s="36"/>
      <c r="M26" s="37"/>
      <c r="N26" s="29"/>
    </row>
    <row r="27" ht="15" customHeight="1" spans="1:250">
      <c r="A27" s="24"/>
      <c r="B27" s="60" t="s">
        <v>2307</v>
      </c>
      <c r="C27" s="24" t="s">
        <v>2295</v>
      </c>
      <c r="D27" s="56">
        <f>MAX(D24,D26)</f>
        <v>1466.25662146843</v>
      </c>
      <c r="E27" s="56">
        <f>MAX(E24,E26)</f>
        <v>1466.25662146843</v>
      </c>
      <c r="F27" s="56">
        <f>MAX(F24,F26)</f>
        <v>0</v>
      </c>
      <c r="G27" s="56">
        <f>MAX(G24,G26)</f>
        <v>0</v>
      </c>
      <c r="H27" s="56">
        <f>MAX(H24,H26)</f>
        <v>0</v>
      </c>
      <c r="I27" s="56"/>
      <c r="J27" s="56"/>
      <c r="K27" s="56"/>
      <c r="L27" s="36"/>
      <c r="M27" s="37"/>
      <c r="N27" s="29"/>
    </row>
    <row r="28" ht="15" customHeight="1" spans="1:250">
      <c r="A28" s="24"/>
      <c r="B28" s="60" t="s">
        <v>2308</v>
      </c>
      <c r="C28" s="24" t="s">
        <v>2309</v>
      </c>
      <c r="D28" s="53">
        <v>40</v>
      </c>
      <c r="E28" s="53">
        <v>40</v>
      </c>
      <c r="F28" s="53">
        <v>40</v>
      </c>
      <c r="G28" s="53">
        <v>40</v>
      </c>
      <c r="H28" s="53">
        <v>40</v>
      </c>
      <c r="I28" s="53"/>
      <c r="J28" s="53"/>
      <c r="K28" s="53"/>
      <c r="L28" s="36"/>
      <c r="M28" s="37"/>
      <c r="N28" s="29"/>
    </row>
    <row r="29" ht="15" customHeight="1" spans="1:250">
      <c r="A29" s="30"/>
      <c r="B29" s="35" t="s">
        <v>2310</v>
      </c>
      <c r="C29" s="24" t="s">
        <v>2295</v>
      </c>
      <c r="D29" s="63">
        <f>D18*D28</f>
        <v>0</v>
      </c>
      <c r="E29" s="63">
        <f>E18*E28</f>
        <v>0</v>
      </c>
      <c r="F29" s="63">
        <f>F18*F28</f>
        <v>0</v>
      </c>
      <c r="G29" s="63">
        <f>G18*G28</f>
        <v>0</v>
      </c>
      <c r="H29" s="63">
        <f>H18*H28</f>
        <v>0</v>
      </c>
      <c r="I29" s="63"/>
      <c r="J29" s="63"/>
      <c r="K29" s="63"/>
      <c r="L29" s="36">
        <f>SUM(D29:E29)</f>
        <v>0</v>
      </c>
      <c r="M29" s="37"/>
      <c r="N29" s="29"/>
    </row>
    <row r="30" ht="15" customHeight="1" spans="1:250">
      <c r="A30" s="30"/>
      <c r="B30" s="60" t="s">
        <v>2311</v>
      </c>
      <c r="C30" s="24" t="s">
        <v>2312</v>
      </c>
      <c r="D30" s="58">
        <v>80</v>
      </c>
      <c r="E30" s="58">
        <v>80</v>
      </c>
      <c r="F30" s="58">
        <v>80</v>
      </c>
      <c r="G30" s="58">
        <v>80</v>
      </c>
      <c r="H30" s="58">
        <v>80</v>
      </c>
      <c r="I30" s="58"/>
      <c r="J30" s="58"/>
      <c r="K30" s="58"/>
      <c r="L30" s="36"/>
      <c r="M30" s="37"/>
      <c r="N30" s="29"/>
    </row>
    <row r="31" ht="15" customHeight="1" spans="1:250">
      <c r="A31" s="24"/>
      <c r="B31" s="35" t="s">
        <v>2313</v>
      </c>
      <c r="C31" s="24" t="s">
        <v>2314</v>
      </c>
      <c r="D31" s="63">
        <f>D18*D30</f>
        <v>0</v>
      </c>
      <c r="E31" s="63">
        <f>E18*E30</f>
        <v>0</v>
      </c>
      <c r="F31" s="63">
        <f>F18*F30</f>
        <v>0</v>
      </c>
      <c r="G31" s="63">
        <f>G18*G30</f>
        <v>0</v>
      </c>
      <c r="H31" s="63">
        <f>H18*H30</f>
        <v>0</v>
      </c>
      <c r="I31" s="63"/>
      <c r="J31" s="63"/>
      <c r="K31" s="63"/>
      <c r="L31" s="36">
        <f>SUM(D31:E31)</f>
        <v>0</v>
      </c>
      <c r="M31" s="37"/>
      <c r="N31" s="29"/>
    </row>
    <row r="32" s="5" customFormat="1" ht="15" customHeight="1" spans="1:250">
      <c r="A32" s="64"/>
      <c r="B32" s="65" t="s">
        <v>2315</v>
      </c>
      <c r="C32" s="64"/>
      <c r="D32" s="64"/>
      <c r="E32" s="64"/>
      <c r="F32" s="64"/>
      <c r="G32" s="64"/>
      <c r="H32" s="64"/>
      <c r="I32" s="64"/>
      <c r="J32" s="64"/>
      <c r="K32" s="64"/>
      <c r="L32" s="66"/>
      <c r="M32" s="66"/>
      <c r="N32" s="67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1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1"/>
      <c r="IP32" s="11"/>
    </row>
    <row r="33" ht="15" customHeight="1" spans="1:250">
      <c r="A33" s="24"/>
      <c r="B33" s="60" t="s">
        <v>2316</v>
      </c>
      <c r="C33" s="24"/>
      <c r="D33" s="24"/>
      <c r="E33" s="24"/>
      <c r="F33" s="24"/>
      <c r="G33" s="24"/>
      <c r="H33" s="24"/>
      <c r="I33" s="24"/>
      <c r="J33" s="24"/>
      <c r="K33" s="24"/>
      <c r="L33" s="68"/>
      <c r="M33" s="37"/>
      <c r="N33" s="69"/>
    </row>
    <row r="34" ht="15" customHeight="1" spans="1:250">
      <c r="A34" s="30"/>
      <c r="B34" s="35" t="s">
        <v>2317</v>
      </c>
      <c r="C34" s="24" t="s">
        <v>2318</v>
      </c>
      <c r="D34" s="58">
        <v>50</v>
      </c>
      <c r="E34" s="58">
        <v>50</v>
      </c>
      <c r="F34" s="58">
        <v>50</v>
      </c>
      <c r="G34" s="58">
        <v>50</v>
      </c>
      <c r="H34" s="58">
        <v>50</v>
      </c>
      <c r="I34" s="58"/>
      <c r="J34" s="58"/>
      <c r="K34" s="58"/>
      <c r="L34" s="36"/>
      <c r="M34" s="37"/>
      <c r="N34" s="69"/>
    </row>
    <row r="35" ht="15" customHeight="1" spans="1:250">
      <c r="A35" s="24"/>
      <c r="B35" s="35" t="s">
        <v>2319</v>
      </c>
      <c r="C35" s="24" t="s">
        <v>2320</v>
      </c>
      <c r="D35" s="63">
        <f>D4*D34/1000</f>
        <v>14.4</v>
      </c>
      <c r="E35" s="63">
        <f>E4*E34/1000</f>
        <v>14.4</v>
      </c>
      <c r="F35" s="63">
        <f>F4*F34/1000</f>
        <v>0</v>
      </c>
      <c r="G35" s="63">
        <f>G4*G34/1000</f>
        <v>0</v>
      </c>
      <c r="H35" s="63">
        <f>H4*H34/1000</f>
        <v>0</v>
      </c>
      <c r="I35" s="63"/>
      <c r="J35" s="63"/>
      <c r="K35" s="63"/>
      <c r="L35" s="36">
        <f>SUM(D35:E35)</f>
        <v>28.8</v>
      </c>
      <c r="M35" s="37"/>
      <c r="N35" s="69"/>
    </row>
    <row r="36" ht="15" customHeight="1" spans="1:250">
      <c r="A36" s="24"/>
      <c r="B36" s="60" t="s">
        <v>2321</v>
      </c>
      <c r="C36" s="24" t="s">
        <v>2318</v>
      </c>
      <c r="D36" s="58">
        <v>40</v>
      </c>
      <c r="E36" s="58">
        <v>40</v>
      </c>
      <c r="F36" s="58">
        <v>40</v>
      </c>
      <c r="G36" s="58">
        <v>40</v>
      </c>
      <c r="H36" s="58">
        <v>40</v>
      </c>
      <c r="I36" s="58"/>
      <c r="J36" s="58"/>
      <c r="K36" s="58"/>
      <c r="L36" s="36"/>
      <c r="M36" s="37"/>
      <c r="N36" s="69"/>
    </row>
    <row r="37" ht="15" customHeight="1" spans="1:250">
      <c r="A37" s="24"/>
      <c r="B37" s="60" t="s">
        <v>2322</v>
      </c>
      <c r="C37" s="24" t="s">
        <v>2320</v>
      </c>
      <c r="D37" s="63">
        <f>D4*D36/1000</f>
        <v>11.52</v>
      </c>
      <c r="E37" s="63">
        <f>E4*E36/1000</f>
        <v>11.52</v>
      </c>
      <c r="F37" s="63">
        <f>F4*F36/1000</f>
        <v>0</v>
      </c>
      <c r="G37" s="63">
        <f>G4*G36/1000</f>
        <v>0</v>
      </c>
      <c r="H37" s="63">
        <f>H4*H36/1000</f>
        <v>0</v>
      </c>
      <c r="I37" s="63"/>
      <c r="J37" s="63"/>
      <c r="K37" s="63"/>
      <c r="L37" s="36">
        <f>SUM(D37:E37)</f>
        <v>23.04</v>
      </c>
      <c r="M37" s="37"/>
      <c r="N37" s="69"/>
    </row>
    <row r="38" ht="15" customHeight="1" spans="1:250">
      <c r="A38" s="24"/>
      <c r="B38" s="60" t="s">
        <v>2323</v>
      </c>
      <c r="C38" s="24" t="s">
        <v>2324</v>
      </c>
      <c r="D38" s="58">
        <v>118</v>
      </c>
      <c r="E38" s="58">
        <v>118</v>
      </c>
      <c r="F38" s="58">
        <v>118</v>
      </c>
      <c r="G38" s="58">
        <v>118</v>
      </c>
      <c r="H38" s="58">
        <v>118</v>
      </c>
      <c r="I38" s="58"/>
      <c r="J38" s="58"/>
      <c r="K38" s="58"/>
      <c r="L38" s="36"/>
      <c r="M38" s="37"/>
      <c r="N38" s="69"/>
    </row>
    <row r="39" ht="15" customHeight="1" spans="1:250">
      <c r="A39" s="30"/>
      <c r="B39" s="35" t="s">
        <v>2325</v>
      </c>
      <c r="C39" s="24" t="s">
        <v>2320</v>
      </c>
      <c r="D39" s="63">
        <f>D18*D38/1000</f>
        <v>0</v>
      </c>
      <c r="E39" s="63">
        <f>E18*E38/1000</f>
        <v>0</v>
      </c>
      <c r="F39" s="63">
        <f>F18*F38/1000</f>
        <v>0</v>
      </c>
      <c r="G39" s="63">
        <f>G18*G38/1000</f>
        <v>0</v>
      </c>
      <c r="H39" s="63">
        <f>H18*H38/1000</f>
        <v>0</v>
      </c>
      <c r="I39" s="63"/>
      <c r="J39" s="63"/>
      <c r="K39" s="63"/>
      <c r="L39" s="36">
        <f>SUM(D39:E39)</f>
        <v>0</v>
      </c>
      <c r="M39" s="37"/>
      <c r="N39" s="29"/>
    </row>
    <row r="40" ht="15" customHeight="1" spans="1:250">
      <c r="A40" s="30"/>
      <c r="B40" s="35" t="s">
        <v>2326</v>
      </c>
      <c r="C40" s="24" t="s">
        <v>2320</v>
      </c>
      <c r="D40" s="63">
        <f>D4*0.02</f>
        <v>5.76</v>
      </c>
      <c r="E40" s="63">
        <f>E4*0.02</f>
        <v>5.76</v>
      </c>
      <c r="F40" s="63">
        <f>F4*0.02</f>
        <v>0</v>
      </c>
      <c r="G40" s="63">
        <f>G4*0.02</f>
        <v>0</v>
      </c>
      <c r="H40" s="63">
        <f>H4*0.02</f>
        <v>0</v>
      </c>
      <c r="I40" s="63"/>
      <c r="J40" s="63"/>
      <c r="K40" s="63"/>
      <c r="L40" s="36">
        <f>SUM(D40:E40)</f>
        <v>11.52</v>
      </c>
      <c r="M40" s="37"/>
      <c r="N40" s="29"/>
    </row>
    <row r="41" ht="15" customHeight="1" spans="1:250">
      <c r="A41" s="30"/>
      <c r="B41" s="35" t="s">
        <v>2327</v>
      </c>
      <c r="C41" s="24" t="s">
        <v>2320</v>
      </c>
      <c r="D41" s="70"/>
      <c r="E41" s="70"/>
      <c r="F41" s="70"/>
      <c r="G41" s="70"/>
      <c r="H41" s="70"/>
      <c r="I41" s="70"/>
      <c r="J41" s="70"/>
      <c r="K41" s="70"/>
      <c r="L41" s="36"/>
      <c r="M41" s="37"/>
      <c r="N41" s="54"/>
    </row>
    <row r="42" ht="15" customHeight="1" spans="1:250">
      <c r="A42" s="24"/>
      <c r="B42" s="71" t="s">
        <v>2328</v>
      </c>
      <c r="C42" s="72" t="s">
        <v>2320</v>
      </c>
      <c r="D42" s="73">
        <f>MAX(D44,D45)</f>
        <v>11.52</v>
      </c>
      <c r="E42" s="73">
        <f>MAX(E44,E45)</f>
        <v>11.52</v>
      </c>
      <c r="F42" s="73">
        <f>MAX(F44,F45)</f>
        <v>0</v>
      </c>
      <c r="G42" s="73">
        <f>MAX(G44,G45)</f>
        <v>0</v>
      </c>
      <c r="H42" s="73">
        <f>MAX(H44,H45)</f>
        <v>0</v>
      </c>
      <c r="I42" s="73"/>
      <c r="J42" s="73"/>
      <c r="K42" s="73"/>
      <c r="L42" s="36">
        <f>SUM(D42:E42)</f>
        <v>23.04</v>
      </c>
      <c r="M42" s="37"/>
      <c r="N42" s="29"/>
    </row>
    <row r="43" s="6" customFormat="1" ht="15" customHeight="1" spans="1:250">
      <c r="A43" s="30"/>
      <c r="B43" s="74" t="s">
        <v>2329</v>
      </c>
      <c r="C43" s="30" t="s">
        <v>2318</v>
      </c>
      <c r="D43" s="75">
        <v>40</v>
      </c>
      <c r="E43" s="75">
        <v>40</v>
      </c>
      <c r="F43" s="75">
        <v>40</v>
      </c>
      <c r="G43" s="75">
        <v>40</v>
      </c>
      <c r="H43" s="75">
        <v>40</v>
      </c>
      <c r="I43" s="75"/>
      <c r="J43" s="75"/>
      <c r="K43" s="75"/>
      <c r="L43" s="36"/>
      <c r="M43" s="37"/>
      <c r="N43" s="76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1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11"/>
      <c r="IP43" s="11"/>
    </row>
    <row r="44" s="7" customFormat="1" ht="27" customHeight="1" spans="1:250">
      <c r="A44" s="24"/>
      <c r="B44" s="77" t="s">
        <v>2330</v>
      </c>
      <c r="C44" s="78" t="s">
        <v>2320</v>
      </c>
      <c r="D44" s="79">
        <f>D43*D4/1000</f>
        <v>11.52</v>
      </c>
      <c r="E44" s="79">
        <f>E43*E4/1000</f>
        <v>11.52</v>
      </c>
      <c r="F44" s="79">
        <f>F43*F4/1000</f>
        <v>0</v>
      </c>
      <c r="G44" s="79">
        <f>G43*G4/1000</f>
        <v>0</v>
      </c>
      <c r="H44" s="79">
        <f>H43*H4/1000</f>
        <v>0</v>
      </c>
      <c r="I44" s="79"/>
      <c r="J44" s="79"/>
      <c r="K44" s="79"/>
      <c r="L44" s="80"/>
      <c r="M44" s="81"/>
      <c r="N44" s="76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1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1"/>
      <c r="IP44" s="11"/>
    </row>
    <row r="45" s="6" customFormat="1" ht="15" customHeight="1" spans="1:250">
      <c r="A45" s="30"/>
      <c r="B45" s="74" t="s">
        <v>2328</v>
      </c>
      <c r="C45" s="78" t="s">
        <v>2331</v>
      </c>
      <c r="D45" s="79">
        <f>D46*D47+D48*D49-D52</f>
        <v>0</v>
      </c>
      <c r="E45" s="79">
        <f>E46*E47+E48*E49-E52</f>
        <v>0</v>
      </c>
      <c r="F45" s="79">
        <f>F46*F47+F48*F49-F52</f>
        <v>0</v>
      </c>
      <c r="G45" s="79">
        <f>G46*G47+G48*G49-G52</f>
        <v>0</v>
      </c>
      <c r="H45" s="79">
        <f>H46*H47+H48*H49-H52</f>
        <v>0</v>
      </c>
      <c r="I45" s="79"/>
      <c r="J45" s="79"/>
      <c r="K45" s="79"/>
      <c r="L45" s="36">
        <f>SUM(D45:E45)</f>
        <v>0</v>
      </c>
      <c r="M45" s="37"/>
      <c r="N45" s="76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1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1"/>
      <c r="IP45" s="11"/>
    </row>
    <row r="46" s="8" customFormat="1" ht="17.25" customHeight="1" spans="1:250">
      <c r="A46" s="30"/>
      <c r="B46" s="82" t="s">
        <v>2332</v>
      </c>
      <c r="C46" s="78" t="s">
        <v>2320</v>
      </c>
      <c r="D46" s="83"/>
      <c r="E46" s="83"/>
      <c r="F46" s="83"/>
      <c r="G46" s="83"/>
      <c r="H46" s="83"/>
      <c r="I46" s="84"/>
      <c r="J46" s="84"/>
      <c r="K46" s="84"/>
      <c r="L46" s="36">
        <f>SUM(D46:E46)</f>
        <v>0</v>
      </c>
      <c r="M46" s="37"/>
      <c r="N46" s="85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1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1"/>
      <c r="IP46" s="11"/>
    </row>
    <row r="47" s="9" customFormat="1" ht="21" customHeight="1" spans="1:250">
      <c r="A47" s="24"/>
      <c r="B47" s="86" t="s">
        <v>2333</v>
      </c>
      <c r="C47" s="72" t="s">
        <v>2180</v>
      </c>
      <c r="D47" s="87"/>
      <c r="E47" s="87"/>
      <c r="F47" s="87"/>
      <c r="G47" s="87"/>
      <c r="H47" s="87"/>
      <c r="I47" s="87"/>
      <c r="J47" s="87"/>
      <c r="K47" s="87"/>
      <c r="L47" s="88"/>
      <c r="M47" s="37"/>
      <c r="N47" s="89" t="s">
        <v>2334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1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1"/>
      <c r="IP47" s="11"/>
    </row>
    <row r="48" s="8" customFormat="1" ht="17.25" customHeight="1" spans="1:250">
      <c r="A48" s="30"/>
      <c r="B48" s="82" t="s">
        <v>2335</v>
      </c>
      <c r="C48" s="78" t="s">
        <v>2320</v>
      </c>
      <c r="D48" s="90"/>
      <c r="E48" s="90"/>
      <c r="F48" s="90"/>
      <c r="G48" s="90"/>
      <c r="H48" s="90"/>
      <c r="I48" s="90"/>
      <c r="J48" s="90"/>
      <c r="K48" s="90"/>
      <c r="L48" s="36">
        <f>SUM(D48:E48)</f>
        <v>0</v>
      </c>
      <c r="M48" s="37"/>
      <c r="N48" s="85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1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1"/>
      <c r="IP48" s="11"/>
    </row>
    <row r="49" s="9" customFormat="1" ht="21" customHeight="1" spans="1:250">
      <c r="A49" s="24"/>
      <c r="B49" s="86" t="s">
        <v>2333</v>
      </c>
      <c r="C49" s="72" t="s">
        <v>2180</v>
      </c>
      <c r="D49" s="87"/>
      <c r="E49" s="87"/>
      <c r="F49" s="87"/>
      <c r="G49" s="87"/>
      <c r="H49" s="87"/>
      <c r="I49" s="87"/>
      <c r="J49" s="87"/>
      <c r="K49" s="87"/>
      <c r="L49" s="88"/>
      <c r="M49" s="37"/>
      <c r="N49" s="89" t="s">
        <v>2336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1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1"/>
      <c r="IP49" s="11"/>
    </row>
    <row r="50" s="9" customFormat="1" ht="15" customHeight="1" spans="1:250">
      <c r="A50" s="30"/>
      <c r="B50" s="71" t="s">
        <v>2337</v>
      </c>
      <c r="C50" s="72" t="s">
        <v>2295</v>
      </c>
      <c r="D50" s="91"/>
      <c r="E50" s="91"/>
      <c r="F50" s="91"/>
      <c r="G50" s="91"/>
      <c r="H50" s="91"/>
      <c r="I50" s="91"/>
      <c r="J50" s="91"/>
      <c r="K50" s="91"/>
      <c r="L50" s="36">
        <f>SUM(D50:E50)</f>
        <v>0</v>
      </c>
      <c r="M50" s="37"/>
      <c r="N50" s="2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1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1"/>
      <c r="IP50" s="11"/>
    </row>
    <row r="51" s="9" customFormat="1" ht="15" customHeight="1" spans="1:250">
      <c r="A51" s="30"/>
      <c r="B51" s="71" t="s">
        <v>2338</v>
      </c>
      <c r="C51" s="72"/>
      <c r="D51" s="91"/>
      <c r="E51" s="91"/>
      <c r="F51" s="91"/>
      <c r="G51" s="91"/>
      <c r="H51" s="91"/>
      <c r="I51" s="91"/>
      <c r="J51" s="91"/>
      <c r="K51" s="91"/>
      <c r="L51" s="36"/>
      <c r="M51" s="37"/>
      <c r="N51" s="2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1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1"/>
      <c r="IP51" s="11"/>
    </row>
    <row r="52" s="9" customFormat="1" ht="15" customHeight="1" spans="1:250">
      <c r="A52" s="24"/>
      <c r="B52" s="71" t="s">
        <v>2339</v>
      </c>
      <c r="C52" s="72" t="s">
        <v>2331</v>
      </c>
      <c r="D52" s="92">
        <f>4.2*1000*D50/3600*6*D51</f>
        <v>0</v>
      </c>
      <c r="E52" s="92">
        <f>4.2*1000*E50/3600*6*E51</f>
        <v>0</v>
      </c>
      <c r="F52" s="92">
        <f>4.2*1000*F50/3600*6*F51</f>
        <v>0</v>
      </c>
      <c r="G52" s="92">
        <f>4.2*1000*G50/3600*6*G51</f>
        <v>0</v>
      </c>
      <c r="H52" s="92">
        <f>4.2*1000*H50/3600*6*H51</f>
        <v>0</v>
      </c>
      <c r="I52" s="92"/>
      <c r="J52" s="92"/>
      <c r="K52" s="92"/>
      <c r="L52" s="36">
        <f>SUM(D52:E52)</f>
        <v>0</v>
      </c>
      <c r="M52" s="37"/>
      <c r="N52" s="54" t="s">
        <v>2340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1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1"/>
      <c r="IP52" s="11"/>
    </row>
    <row r="53" s="9" customFormat="1" ht="15" customHeight="1" spans="1:250">
      <c r="A53" s="30"/>
      <c r="B53" s="93" t="s">
        <v>2341</v>
      </c>
      <c r="C53" s="72" t="s">
        <v>2320</v>
      </c>
      <c r="D53" s="94">
        <f>D35+D39+D40+D41+D42</f>
        <v>31.68</v>
      </c>
      <c r="E53" s="94">
        <f>E35+E39+E40+E41+E42</f>
        <v>31.68</v>
      </c>
      <c r="F53" s="94">
        <f>F35+F39+F40+F41+F42</f>
        <v>0</v>
      </c>
      <c r="G53" s="94">
        <f>G35+G39+G40+G41+G42</f>
        <v>0</v>
      </c>
      <c r="H53" s="94">
        <f>H35+H39+H40+H41+H42</f>
        <v>0</v>
      </c>
      <c r="I53" s="94"/>
      <c r="J53" s="94"/>
      <c r="K53" s="94"/>
      <c r="L53" s="36">
        <f>SUM(D53:E53)</f>
        <v>63.36</v>
      </c>
      <c r="M53" s="37"/>
      <c r="N53" s="2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1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1"/>
      <c r="IP53" s="11"/>
    </row>
    <row r="54" s="9" customFormat="1" ht="15" customHeight="1" spans="1:250">
      <c r="A54" s="30"/>
      <c r="B54" s="93" t="s">
        <v>2342</v>
      </c>
      <c r="C54" s="72" t="s">
        <v>2318</v>
      </c>
      <c r="D54" s="95">
        <f>D53*1000/D4</f>
        <v>110</v>
      </c>
      <c r="E54" s="95">
        <f>E53*1000/E4</f>
        <v>110</v>
      </c>
      <c r="F54" s="95" t="e">
        <f>F53*1000/F4</f>
        <v>#DIV/0!</v>
      </c>
      <c r="G54" s="95" t="e">
        <f>G53*1000/G4</f>
        <v>#DIV/0!</v>
      </c>
      <c r="H54" s="95" t="e">
        <f>H53*1000/H4</f>
        <v>#DIV/0!</v>
      </c>
      <c r="I54" s="95"/>
      <c r="J54" s="95"/>
      <c r="K54" s="95"/>
      <c r="L54" s="36">
        <f>SUM(D54:E54)</f>
        <v>220</v>
      </c>
      <c r="M54" s="37"/>
      <c r="N54" s="2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1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1"/>
      <c r="IP54" s="11"/>
    </row>
    <row r="55" s="9" customFormat="1" ht="15" customHeight="1" spans="1:250">
      <c r="A55" s="30"/>
      <c r="B55" s="71" t="s">
        <v>2343</v>
      </c>
      <c r="C55" s="72" t="s">
        <v>2320</v>
      </c>
      <c r="D55" s="96">
        <f>(D39+D40+D42)-D37</f>
        <v>5.76</v>
      </c>
      <c r="E55" s="96">
        <f>(E39+E40+E42)-E37</f>
        <v>5.76</v>
      </c>
      <c r="F55" s="96">
        <f>(F39+F40+F42)-F37</f>
        <v>0</v>
      </c>
      <c r="G55" s="96">
        <f>(G39+G40+G42)-G37</f>
        <v>0</v>
      </c>
      <c r="H55" s="96">
        <f>(H39+H40+H42)-H37</f>
        <v>0</v>
      </c>
      <c r="I55" s="96"/>
      <c r="J55" s="96"/>
      <c r="K55" s="96"/>
      <c r="L55" s="36">
        <f>SUM(D55:E55)</f>
        <v>11.52</v>
      </c>
      <c r="M55" s="37"/>
      <c r="N55" s="54" t="s">
        <v>2344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1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  <c r="IO55" s="11"/>
      <c r="IP55" s="11"/>
    </row>
    <row r="56" s="10" customFormat="1" ht="15" customHeight="1" spans="1:250">
      <c r="A56" s="64"/>
      <c r="B56" s="65" t="s">
        <v>2345</v>
      </c>
      <c r="C56" s="64"/>
      <c r="D56" s="64"/>
      <c r="E56" s="64"/>
      <c r="F56" s="64"/>
      <c r="G56" s="64"/>
      <c r="H56" s="64"/>
      <c r="I56" s="64"/>
      <c r="J56" s="64"/>
      <c r="K56" s="64"/>
      <c r="L56" s="66"/>
      <c r="M56" s="66"/>
      <c r="N56" s="67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1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  <c r="IO56" s="11"/>
      <c r="IP56" s="11"/>
    </row>
    <row r="57" s="9" customFormat="1" ht="15" customHeight="1" spans="1:250">
      <c r="A57" s="24"/>
      <c r="B57" s="35" t="s">
        <v>2346</v>
      </c>
      <c r="C57" s="24" t="s">
        <v>2281</v>
      </c>
      <c r="D57" s="97" t="e">
        <f>#REF!</f>
        <v>#REF!</v>
      </c>
      <c r="E57" s="97" t="e">
        <f>#REF!</f>
        <v>#REF!</v>
      </c>
      <c r="F57" s="97" t="e">
        <f>#REF!</f>
        <v>#REF!</v>
      </c>
      <c r="G57" s="97" t="e">
        <f>#REF!</f>
        <v>#REF!</v>
      </c>
      <c r="H57" s="97" t="e">
        <f>#REF!</f>
        <v>#REF!</v>
      </c>
      <c r="I57" s="97"/>
      <c r="J57" s="97"/>
      <c r="K57" s="97"/>
      <c r="L57" s="36"/>
      <c r="M57" s="37"/>
      <c r="N57" s="29"/>
      <c r="O57" s="19"/>
      <c r="P57" s="19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1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  <c r="IO57" s="11"/>
      <c r="IP57" s="11"/>
    </row>
    <row r="58" ht="15" customHeight="1" spans="1:250">
      <c r="A58" s="24"/>
      <c r="B58" s="35" t="s">
        <v>2347</v>
      </c>
      <c r="C58" s="24" t="s">
        <v>2262</v>
      </c>
      <c r="D58" s="97" t="e">
        <f>#REF!</f>
        <v>#REF!</v>
      </c>
      <c r="E58" s="97" t="e">
        <f>#REF!</f>
        <v>#REF!</v>
      </c>
      <c r="F58" s="97" t="e">
        <f>#REF!</f>
        <v>#REF!</v>
      </c>
      <c r="G58" s="97" t="e">
        <f>#REF!</f>
        <v>#REF!</v>
      </c>
      <c r="H58" s="97" t="e">
        <f>#REF!</f>
        <v>#REF!</v>
      </c>
      <c r="I58" s="97"/>
      <c r="J58" s="97"/>
      <c r="K58" s="97"/>
      <c r="L58" s="36"/>
      <c r="M58" s="37"/>
      <c r="N58" s="29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</row>
    <row r="59" ht="15" customHeight="1" spans="1:250">
      <c r="A59" s="30"/>
      <c r="B59" s="35" t="s">
        <v>2348</v>
      </c>
      <c r="C59" s="24" t="s">
        <v>2264</v>
      </c>
      <c r="D59" s="97" t="e">
        <f>#REF!</f>
        <v>#REF!</v>
      </c>
      <c r="E59" s="97" t="e">
        <f>#REF!</f>
        <v>#REF!</v>
      </c>
      <c r="F59" s="97" t="e">
        <f>#REF!</f>
        <v>#REF!</v>
      </c>
      <c r="G59" s="97" t="e">
        <f>#REF!</f>
        <v>#REF!</v>
      </c>
      <c r="H59" s="97" t="e">
        <f>#REF!</f>
        <v>#REF!</v>
      </c>
      <c r="I59" s="97"/>
      <c r="J59" s="97"/>
      <c r="K59" s="97"/>
      <c r="L59" s="36"/>
      <c r="M59" s="37"/>
      <c r="N59" s="29"/>
      <c r="Q59" s="98"/>
      <c r="R59" s="98"/>
      <c r="S59" s="98"/>
      <c r="T59" s="99"/>
      <c r="U59" s="99"/>
      <c r="V59" s="99"/>
      <c r="W59" s="11"/>
      <c r="X59" s="11"/>
      <c r="Y59" s="100"/>
      <c r="Z59" s="101"/>
      <c r="AA59" s="11"/>
      <c r="AB59" s="102"/>
      <c r="AC59" s="103"/>
      <c r="AD59" s="11"/>
      <c r="AE59" s="104"/>
      <c r="AF59" s="105"/>
      <c r="AG59" s="106"/>
      <c r="AH59" s="106"/>
      <c r="AI59" s="98"/>
    </row>
    <row r="60" ht="15" customHeight="1" spans="1:250">
      <c r="A60" s="30"/>
      <c r="B60" s="35" t="s">
        <v>2349</v>
      </c>
      <c r="C60" s="24" t="s">
        <v>2295</v>
      </c>
      <c r="D60" s="107" t="e">
        <f>D31/1.2/(D11-D58)</f>
        <v>#REF!</v>
      </c>
      <c r="E60" s="107" t="e">
        <f>E31/1.2/(E11-E58)</f>
        <v>#REF!</v>
      </c>
      <c r="F60" s="107" t="e">
        <f>F31/1.2/(F11-F58)</f>
        <v>#REF!</v>
      </c>
      <c r="G60" s="107" t="e">
        <f>G31/1.2/(G11-G58)</f>
        <v>#REF!</v>
      </c>
      <c r="H60" s="107" t="e">
        <f>H31/1.2/(H11-H58)</f>
        <v>#REF!</v>
      </c>
      <c r="I60" s="107"/>
      <c r="J60" s="107"/>
      <c r="K60" s="107"/>
      <c r="L60" s="36" t="e">
        <f>SUM(D60:E60)</f>
        <v>#REF!</v>
      </c>
      <c r="M60" s="37"/>
      <c r="N60" s="29"/>
      <c r="Q60" s="98"/>
      <c r="R60" s="98"/>
      <c r="S60" s="98"/>
      <c r="T60" s="108"/>
      <c r="U60" s="99"/>
      <c r="V60" s="99"/>
      <c r="W60" s="11"/>
      <c r="X60" s="11"/>
      <c r="Y60" s="109"/>
      <c r="Z60" s="109"/>
      <c r="AA60" s="11"/>
      <c r="AB60" s="103"/>
      <c r="AC60" s="103"/>
      <c r="AD60" s="11"/>
      <c r="AE60" s="110"/>
      <c r="AF60" s="104"/>
      <c r="AG60" s="105"/>
      <c r="AH60" s="111"/>
      <c r="AI60" s="98"/>
    </row>
    <row r="61" ht="15" customHeight="1" spans="1:250">
      <c r="A61" s="24"/>
      <c r="B61" s="60" t="s">
        <v>2350</v>
      </c>
      <c r="C61" s="24" t="s">
        <v>2281</v>
      </c>
      <c r="D61" s="112">
        <v>3</v>
      </c>
      <c r="E61" s="112">
        <v>3</v>
      </c>
      <c r="F61" s="112">
        <v>3</v>
      </c>
      <c r="G61" s="112">
        <v>3</v>
      </c>
      <c r="H61" s="112">
        <v>3</v>
      </c>
      <c r="I61" s="112"/>
      <c r="J61" s="112"/>
      <c r="K61" s="112"/>
      <c r="L61" s="36"/>
      <c r="M61" s="37"/>
      <c r="N61" s="54" t="s">
        <v>2351</v>
      </c>
      <c r="Q61" s="98"/>
      <c r="R61" s="98"/>
      <c r="S61" s="98"/>
      <c r="T61" s="99"/>
      <c r="U61" s="99"/>
      <c r="V61" s="99"/>
      <c r="W61" s="11"/>
      <c r="X61" s="11"/>
      <c r="Y61" s="109"/>
      <c r="Z61" s="109"/>
      <c r="AA61" s="15"/>
      <c r="AB61" s="103"/>
      <c r="AC61" s="103"/>
      <c r="AD61" s="15"/>
      <c r="AE61" s="113"/>
      <c r="AF61" s="104"/>
      <c r="AG61" s="105"/>
      <c r="AH61" s="111"/>
      <c r="AI61" s="98"/>
    </row>
    <row r="62" ht="15" customHeight="1" spans="1:250">
      <c r="A62" s="30"/>
      <c r="B62" s="60" t="s">
        <v>2352</v>
      </c>
      <c r="C62" s="24" t="s">
        <v>2295</v>
      </c>
      <c r="D62" s="114">
        <f>D16</f>
        <v>0</v>
      </c>
      <c r="E62" s="114">
        <f>E16</f>
        <v>0</v>
      </c>
      <c r="F62" s="114">
        <f>F16</f>
        <v>0</v>
      </c>
      <c r="G62" s="114">
        <f>G16</f>
        <v>0</v>
      </c>
      <c r="H62" s="114">
        <f>H16</f>
        <v>0</v>
      </c>
      <c r="I62" s="114"/>
      <c r="J62" s="114"/>
      <c r="K62" s="114"/>
      <c r="L62" s="36">
        <f>SUM(D62:E62)</f>
        <v>0</v>
      </c>
      <c r="M62" s="37"/>
      <c r="N62" s="29"/>
      <c r="Q62" s="98"/>
      <c r="R62" s="98"/>
      <c r="S62" s="98"/>
      <c r="T62" s="99"/>
      <c r="U62" s="99"/>
      <c r="V62" s="99"/>
      <c r="W62" s="11"/>
      <c r="X62" s="11"/>
      <c r="Y62" s="109"/>
      <c r="Z62" s="109"/>
      <c r="AA62" s="11"/>
      <c r="AB62" s="115"/>
      <c r="AC62" s="116"/>
      <c r="AD62" s="11"/>
      <c r="AE62" s="113"/>
      <c r="AF62" s="104"/>
      <c r="AG62" s="117"/>
      <c r="AH62" s="111"/>
      <c r="AI62" s="98"/>
    </row>
    <row r="63" ht="15" customHeight="1" spans="1:250">
      <c r="A63" s="24"/>
      <c r="B63" s="60" t="s">
        <v>2353</v>
      </c>
      <c r="C63" s="24" t="s">
        <v>2295</v>
      </c>
      <c r="D63" s="114">
        <f>D53*3600/1.2/D61/1.01</f>
        <v>31366.3366336634</v>
      </c>
      <c r="E63" s="114">
        <f>E53*3600/1.2/E61/1.01</f>
        <v>31366.3366336634</v>
      </c>
      <c r="F63" s="114">
        <f>F53*3600/1.2/F61/1.01</f>
        <v>0</v>
      </c>
      <c r="G63" s="114">
        <f>G53*3600/1.2/G61/1.01</f>
        <v>0</v>
      </c>
      <c r="H63" s="114">
        <f>H53*3600/1.2/H61/1.01</f>
        <v>0</v>
      </c>
      <c r="I63" s="114"/>
      <c r="J63" s="114"/>
      <c r="K63" s="114"/>
      <c r="L63" s="36">
        <f>SUM(D63:E63)</f>
        <v>62732.6732673267</v>
      </c>
      <c r="M63" s="37"/>
      <c r="N63" s="29"/>
      <c r="Q63" s="98"/>
      <c r="R63" s="98"/>
      <c r="S63" s="98"/>
      <c r="T63" s="99"/>
      <c r="U63" s="99"/>
      <c r="V63" s="99"/>
      <c r="W63" s="11"/>
      <c r="X63" s="11"/>
      <c r="Y63" s="109"/>
      <c r="Z63" s="109"/>
      <c r="AA63" s="11"/>
      <c r="AB63" s="115"/>
      <c r="AC63" s="116"/>
      <c r="AD63" s="11"/>
      <c r="AE63" s="113"/>
      <c r="AF63" s="104"/>
      <c r="AG63" s="117"/>
      <c r="AH63" s="111"/>
      <c r="AI63" s="98"/>
    </row>
    <row r="64" s="11" customFormat="1" ht="15" customHeight="1" spans="1:250">
      <c r="A64" s="24"/>
      <c r="B64" s="60" t="s">
        <v>2354</v>
      </c>
      <c r="C64" s="24" t="s">
        <v>2295</v>
      </c>
      <c r="D64" s="114">
        <f>D63+D68</f>
        <v>32832.5932551318</v>
      </c>
      <c r="E64" s="114">
        <f>E63+E68</f>
        <v>32832.5932551318</v>
      </c>
      <c r="F64" s="114">
        <f>F63+F68</f>
        <v>0</v>
      </c>
      <c r="G64" s="114">
        <f>G63+G68</f>
        <v>0</v>
      </c>
      <c r="H64" s="114">
        <f>H63+H68</f>
        <v>0</v>
      </c>
      <c r="I64" s="114"/>
      <c r="J64" s="114"/>
      <c r="K64" s="114"/>
      <c r="L64" s="36">
        <f>SUM(D64:E64)</f>
        <v>65665.1865102636</v>
      </c>
      <c r="M64" s="37"/>
      <c r="N64" s="29"/>
      <c r="O64" s="19"/>
      <c r="P64" s="19"/>
      <c r="Q64" s="98"/>
      <c r="R64" s="98"/>
      <c r="S64" s="98"/>
      <c r="T64" s="99"/>
      <c r="U64" s="99"/>
      <c r="V64" s="99"/>
      <c r="Y64" s="109"/>
      <c r="Z64" s="109"/>
      <c r="AB64" s="118"/>
      <c r="AC64" s="103"/>
      <c r="AE64" s="113"/>
      <c r="AF64" s="104"/>
      <c r="AG64" s="117"/>
      <c r="AH64" s="111"/>
      <c r="AI64" s="98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</row>
    <row r="65" ht="15" customHeight="1" spans="1:250">
      <c r="A65" s="30"/>
      <c r="B65" s="119" t="s">
        <v>2355</v>
      </c>
      <c r="C65" s="24" t="s">
        <v>2295</v>
      </c>
      <c r="D65" s="114">
        <f>MAX(D64,D62)</f>
        <v>32832.5932551318</v>
      </c>
      <c r="E65" s="114">
        <f>MAX(E64,E62)</f>
        <v>32832.5932551318</v>
      </c>
      <c r="F65" s="114">
        <f>MAX(F64,F62)</f>
        <v>0</v>
      </c>
      <c r="G65" s="114">
        <f>MAX(G64,G62)</f>
        <v>0</v>
      </c>
      <c r="H65" s="114">
        <f>MAX(H64,H62)</f>
        <v>0</v>
      </c>
      <c r="I65" s="114"/>
      <c r="J65" s="114"/>
      <c r="K65" s="114"/>
      <c r="L65" s="36">
        <f>SUM(D65:E65)</f>
        <v>65665.1865102636</v>
      </c>
      <c r="M65" s="37"/>
      <c r="N65" s="29"/>
      <c r="Q65" s="98"/>
      <c r="R65" s="98"/>
      <c r="S65" s="98"/>
      <c r="T65" s="99"/>
      <c r="U65" s="99"/>
      <c r="V65" s="99"/>
      <c r="W65" s="11"/>
      <c r="X65" s="11"/>
      <c r="Y65" s="109"/>
      <c r="Z65" s="109"/>
      <c r="AA65" s="11"/>
      <c r="AB65" s="118"/>
      <c r="AC65" s="103"/>
      <c r="AD65" s="11"/>
      <c r="AE65" s="110"/>
      <c r="AF65" s="104"/>
      <c r="AG65" s="117"/>
      <c r="AH65" s="111"/>
      <c r="AI65" s="98"/>
    </row>
    <row r="66" ht="15" customHeight="1" spans="1:250">
      <c r="A66" s="30"/>
      <c r="B66" s="120" t="s">
        <v>2356</v>
      </c>
      <c r="C66" s="24" t="s">
        <v>2290</v>
      </c>
      <c r="D66" s="114">
        <f>D65/D4/D5</f>
        <v>38.000686637884</v>
      </c>
      <c r="E66" s="114">
        <f>E65/E4/E5</f>
        <v>38.000686637884</v>
      </c>
      <c r="F66" s="114" t="e">
        <f>F65/F4/F5</f>
        <v>#DIV/0!</v>
      </c>
      <c r="G66" s="114" t="e">
        <f>G65/G4/G5</f>
        <v>#DIV/0!</v>
      </c>
      <c r="H66" s="114" t="e">
        <f>H65/H4/H5</f>
        <v>#DIV/0!</v>
      </c>
      <c r="I66" s="114"/>
      <c r="J66" s="114"/>
      <c r="K66" s="114"/>
      <c r="L66" s="36"/>
      <c r="M66" s="37"/>
      <c r="N66" s="29"/>
      <c r="Q66" s="98"/>
      <c r="R66" s="98"/>
      <c r="S66" s="98"/>
      <c r="T66" s="99"/>
      <c r="U66" s="99"/>
      <c r="V66" s="99"/>
      <c r="W66" s="11"/>
      <c r="X66" s="11"/>
      <c r="Y66" s="109"/>
      <c r="Z66" s="109"/>
      <c r="AA66" s="11"/>
      <c r="AB66" s="118"/>
      <c r="AC66" s="103"/>
      <c r="AD66" s="11"/>
      <c r="AE66" s="113"/>
      <c r="AF66" s="104"/>
      <c r="AG66" s="117"/>
      <c r="AH66" s="111"/>
      <c r="AI66" s="98"/>
    </row>
    <row r="67" ht="15" customHeight="1" spans="1:250">
      <c r="A67" s="30"/>
      <c r="B67" s="120" t="s">
        <v>2357</v>
      </c>
      <c r="C67" s="24" t="s">
        <v>2281</v>
      </c>
      <c r="D67" s="121">
        <f>D53/(1.01*1.2*D65/3600)</f>
        <v>2.86602429390137</v>
      </c>
      <c r="E67" s="121">
        <f>E53/(1.01*1.2*E65/3600)</f>
        <v>2.86602429390137</v>
      </c>
      <c r="F67" s="121" t="e">
        <f>F53/(1.01*1.2*F65/3600)</f>
        <v>#DIV/0!</v>
      </c>
      <c r="G67" s="121" t="e">
        <f>G53/(1.01*1.2*G65/3600)</f>
        <v>#DIV/0!</v>
      </c>
      <c r="H67" s="121" t="e">
        <f>H53/(1.01*1.2*H65/3600)</f>
        <v>#DIV/0!</v>
      </c>
      <c r="I67" s="121"/>
      <c r="J67" s="121"/>
      <c r="K67" s="121"/>
      <c r="L67" s="36"/>
      <c r="M67" s="37"/>
      <c r="N67" s="29"/>
      <c r="Q67" s="98"/>
      <c r="R67" s="98"/>
      <c r="S67" s="98"/>
      <c r="T67" s="99"/>
      <c r="U67" s="99"/>
      <c r="V67" s="99"/>
      <c r="W67" s="11"/>
      <c r="X67" s="11"/>
      <c r="Y67" s="109"/>
      <c r="Z67" s="109"/>
      <c r="AA67" s="11"/>
      <c r="AB67" s="118"/>
      <c r="AC67" s="103"/>
      <c r="AD67" s="11"/>
      <c r="AE67" s="113"/>
      <c r="AF67" s="104"/>
      <c r="AG67" s="117"/>
      <c r="AH67" s="111"/>
      <c r="AI67" s="98"/>
    </row>
    <row r="68" s="12" customFormat="1" ht="15" customHeight="1" spans="1:250">
      <c r="A68" s="30"/>
      <c r="B68" s="119" t="s">
        <v>2358</v>
      </c>
      <c r="C68" s="24" t="s">
        <v>2295</v>
      </c>
      <c r="D68" s="56">
        <f>MAX(SUM(D19+D20+D21+D22+D23+D27),D29)</f>
        <v>1466.25662146843</v>
      </c>
      <c r="E68" s="56">
        <f>MAX(SUM(E19+E20+E21+E22+E23+E27),E29)</f>
        <v>1466.25662146843</v>
      </c>
      <c r="F68" s="56">
        <f>MAX(SUM(F19+F20+F21+F22+F23+F27),F29)</f>
        <v>0</v>
      </c>
      <c r="G68" s="56">
        <f>MAX(SUM(G19+G20+G21+G22+G23+G27),G29)</f>
        <v>0</v>
      </c>
      <c r="H68" s="56">
        <f>MAX(SUM(H19+H20+H21+H22+H23+H27),H29)</f>
        <v>0</v>
      </c>
      <c r="I68" s="56"/>
      <c r="J68" s="56"/>
      <c r="K68" s="56"/>
      <c r="L68" s="36">
        <f>SUM(D68:E68)</f>
        <v>2932.51324293685</v>
      </c>
      <c r="M68" s="37"/>
      <c r="N68" s="29"/>
      <c r="O68" s="19"/>
      <c r="P68" s="19"/>
      <c r="Q68" s="98"/>
      <c r="R68" s="98"/>
      <c r="S68" s="98"/>
      <c r="T68" s="99"/>
      <c r="U68" s="99"/>
      <c r="V68" s="99"/>
      <c r="W68" s="11"/>
      <c r="X68" s="11"/>
      <c r="Y68" s="109"/>
      <c r="Z68" s="109"/>
      <c r="AA68" s="11"/>
      <c r="AB68" s="118"/>
      <c r="AC68" s="103"/>
      <c r="AD68" s="11"/>
      <c r="AE68" s="113"/>
      <c r="AF68" s="104"/>
      <c r="AG68" s="117"/>
      <c r="AH68" s="111"/>
      <c r="AI68" s="98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1"/>
      <c r="IB68" s="19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1"/>
      <c r="IP68" s="11"/>
    </row>
    <row r="69" ht="15" customHeight="1" spans="1:250">
      <c r="A69" s="24"/>
      <c r="B69" s="119" t="s">
        <v>2359</v>
      </c>
      <c r="C69" s="24" t="s">
        <v>2146</v>
      </c>
      <c r="D69" s="122">
        <f>D68/D65</f>
        <v>0.0446585686995421</v>
      </c>
      <c r="E69" s="122">
        <f>E68/E65</f>
        <v>0.0446585686995421</v>
      </c>
      <c r="F69" s="122" t="e">
        <f>F68/F65</f>
        <v>#DIV/0!</v>
      </c>
      <c r="G69" s="122" t="e">
        <f>G68/G65</f>
        <v>#DIV/0!</v>
      </c>
      <c r="H69" s="122" t="e">
        <f>H68/H65</f>
        <v>#DIV/0!</v>
      </c>
      <c r="I69" s="122"/>
      <c r="J69" s="122"/>
      <c r="K69" s="122"/>
      <c r="L69" s="36"/>
      <c r="M69" s="37"/>
      <c r="N69" s="29"/>
      <c r="Q69" s="98"/>
      <c r="R69" s="98"/>
      <c r="S69" s="98"/>
      <c r="T69" s="99"/>
      <c r="U69" s="99"/>
      <c r="V69" s="99"/>
      <c r="W69" s="11"/>
      <c r="X69" s="11"/>
      <c r="Y69" s="109"/>
      <c r="Z69" s="109"/>
      <c r="AA69" s="11"/>
      <c r="AB69" s="11"/>
      <c r="AC69" s="11"/>
      <c r="AD69" s="11"/>
      <c r="AE69" s="113"/>
      <c r="AF69" s="104"/>
      <c r="AG69" s="117"/>
      <c r="AH69" s="111"/>
      <c r="AI69" s="98"/>
    </row>
    <row r="70" s="12" customFormat="1" ht="15" customHeight="1" spans="1:250">
      <c r="A70" s="30"/>
      <c r="B70" s="120" t="s">
        <v>2360</v>
      </c>
      <c r="C70" s="24" t="s">
        <v>2295</v>
      </c>
      <c r="D70" s="56">
        <f>D65-D68</f>
        <v>31366.3366336634</v>
      </c>
      <c r="E70" s="56">
        <f>E65-E68</f>
        <v>31366.3366336634</v>
      </c>
      <c r="F70" s="56">
        <f>F65-F68</f>
        <v>0</v>
      </c>
      <c r="G70" s="56">
        <f>G65-G68</f>
        <v>0</v>
      </c>
      <c r="H70" s="56">
        <f>H65-H68</f>
        <v>0</v>
      </c>
      <c r="I70" s="56"/>
      <c r="J70" s="56"/>
      <c r="K70" s="56"/>
      <c r="L70" s="36">
        <f>SUM(D70:E70)</f>
        <v>62732.6732673267</v>
      </c>
      <c r="M70" s="37"/>
      <c r="N70" s="29"/>
      <c r="O70" s="19"/>
      <c r="P70" s="19"/>
      <c r="Q70" s="98"/>
      <c r="R70" s="98"/>
      <c r="S70" s="98"/>
      <c r="T70" s="11"/>
      <c r="U70" s="11"/>
      <c r="V70" s="11"/>
      <c r="W70" s="11"/>
      <c r="X70" s="11"/>
      <c r="Y70" s="109"/>
      <c r="Z70" s="123"/>
      <c r="AA70" s="11"/>
      <c r="AB70" s="11"/>
      <c r="AC70" s="11"/>
      <c r="AD70" s="11"/>
      <c r="AE70" s="110"/>
      <c r="AF70" s="104"/>
      <c r="AG70" s="117"/>
      <c r="AH70" s="111"/>
      <c r="AI70" s="98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1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  <c r="IO70" s="11"/>
      <c r="IP70" s="11"/>
    </row>
    <row r="71" s="13" customFormat="1" ht="15" customHeight="1" spans="1:250">
      <c r="A71" s="124"/>
      <c r="B71" s="65" t="s">
        <v>2361</v>
      </c>
      <c r="C71" s="124"/>
      <c r="D71" s="124"/>
      <c r="E71" s="124"/>
      <c r="F71" s="124"/>
      <c r="G71" s="124"/>
      <c r="H71" s="124"/>
      <c r="I71" s="124"/>
      <c r="J71" s="124"/>
      <c r="K71" s="124"/>
      <c r="L71" s="125"/>
      <c r="M71" s="125"/>
      <c r="N71" s="126"/>
      <c r="O71" s="19"/>
      <c r="P71" s="19"/>
      <c r="Q71" s="98"/>
      <c r="R71" s="98"/>
      <c r="S71" s="98"/>
      <c r="T71" s="11"/>
      <c r="U71" s="11"/>
      <c r="V71" s="11"/>
      <c r="W71" s="11"/>
      <c r="X71" s="11"/>
      <c r="Y71" s="109"/>
      <c r="Z71" s="117"/>
      <c r="AA71" s="11"/>
      <c r="AB71" s="15"/>
      <c r="AC71" s="15"/>
      <c r="AD71" s="11"/>
      <c r="AE71" s="113"/>
      <c r="AF71" s="104"/>
      <c r="AG71" s="117"/>
      <c r="AH71" s="111"/>
      <c r="AI71" s="98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1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  <c r="IO71" s="11"/>
      <c r="IP71" s="11"/>
    </row>
    <row r="72" s="12" customFormat="1" ht="15" customHeight="1" spans="1:250">
      <c r="A72" s="30"/>
      <c r="B72" s="35" t="s">
        <v>2362</v>
      </c>
      <c r="C72" s="24" t="s">
        <v>2363</v>
      </c>
      <c r="D72" s="53">
        <v>1175</v>
      </c>
      <c r="E72" s="53">
        <v>1175</v>
      </c>
      <c r="F72" s="53">
        <v>1175</v>
      </c>
      <c r="G72" s="53">
        <v>1175</v>
      </c>
      <c r="H72" s="53">
        <v>1175</v>
      </c>
      <c r="I72" s="53"/>
      <c r="J72" s="53"/>
      <c r="K72" s="53"/>
      <c r="L72" s="36"/>
      <c r="M72" s="37"/>
      <c r="N72" s="29"/>
      <c r="O72" s="19"/>
      <c r="P72" s="19"/>
      <c r="Q72" s="98"/>
      <c r="R72" s="98"/>
      <c r="S72" s="98"/>
      <c r="T72" s="127"/>
      <c r="U72" s="127"/>
      <c r="V72" s="127"/>
      <c r="W72" s="127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98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1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  <c r="IO72" s="11"/>
      <c r="IP72" s="11"/>
    </row>
    <row r="73" s="12" customFormat="1" ht="15" customHeight="1" spans="1:250">
      <c r="A73" s="24"/>
      <c r="B73" s="35" t="s">
        <v>2362</v>
      </c>
      <c r="C73" s="24" t="s">
        <v>2363</v>
      </c>
      <c r="D73" s="53">
        <v>1175</v>
      </c>
      <c r="E73" s="53">
        <v>1175</v>
      </c>
      <c r="F73" s="53">
        <v>1175</v>
      </c>
      <c r="G73" s="53">
        <v>1175</v>
      </c>
      <c r="H73" s="53">
        <v>1175</v>
      </c>
      <c r="I73" s="53"/>
      <c r="J73" s="53"/>
      <c r="K73" s="53"/>
      <c r="L73" s="36"/>
      <c r="M73" s="37"/>
      <c r="N73" s="29"/>
      <c r="O73" s="19"/>
      <c r="P73" s="19"/>
      <c r="Q73" s="98"/>
      <c r="R73" s="98"/>
      <c r="S73" s="98"/>
      <c r="T73" s="128"/>
      <c r="U73" s="128"/>
      <c r="V73" s="128"/>
      <c r="W73" s="128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98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  <c r="HN73" s="19"/>
      <c r="HO73" s="19"/>
      <c r="HP73" s="19"/>
      <c r="HQ73" s="19"/>
      <c r="HR73" s="19"/>
      <c r="HS73" s="19"/>
      <c r="HT73" s="19"/>
      <c r="HU73" s="19"/>
      <c r="HV73" s="19"/>
      <c r="HW73" s="19"/>
      <c r="HX73" s="19"/>
      <c r="HY73" s="19"/>
      <c r="HZ73" s="19"/>
      <c r="IA73" s="11"/>
      <c r="IB73" s="19"/>
      <c r="IC73" s="19"/>
      <c r="ID73" s="19"/>
      <c r="IE73" s="19"/>
      <c r="IF73" s="19"/>
      <c r="IG73" s="19"/>
      <c r="IH73" s="19"/>
      <c r="II73" s="19"/>
      <c r="IJ73" s="19"/>
      <c r="IK73" s="19"/>
      <c r="IL73" s="19"/>
      <c r="IM73" s="19"/>
      <c r="IN73" s="19"/>
      <c r="IO73" s="11"/>
      <c r="IP73" s="11"/>
    </row>
    <row r="74" s="12" customFormat="1" ht="15" customHeight="1" spans="1:250">
      <c r="A74" s="30"/>
      <c r="B74" s="35" t="s">
        <v>2364</v>
      </c>
      <c r="C74" s="24" t="s">
        <v>2293</v>
      </c>
      <c r="D74" s="58">
        <v>0.35</v>
      </c>
      <c r="E74" s="58">
        <v>0.35</v>
      </c>
      <c r="F74" s="58">
        <v>0.35</v>
      </c>
      <c r="G74" s="58">
        <v>0.35</v>
      </c>
      <c r="H74" s="58">
        <v>0.35</v>
      </c>
      <c r="I74" s="58"/>
      <c r="J74" s="58"/>
      <c r="K74" s="58"/>
      <c r="L74" s="36"/>
      <c r="M74" s="37"/>
      <c r="N74" s="29"/>
      <c r="O74" s="19"/>
      <c r="P74" s="19"/>
      <c r="Q74" s="98"/>
      <c r="R74" s="98"/>
      <c r="S74" s="98"/>
      <c r="T74" s="129"/>
      <c r="U74" s="129"/>
      <c r="V74" s="129"/>
      <c r="W74" s="129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98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1"/>
      <c r="IB74" s="19"/>
      <c r="IC74" s="19"/>
      <c r="ID74" s="19"/>
      <c r="IE74" s="19"/>
      <c r="IF74" s="19"/>
      <c r="IG74" s="19"/>
      <c r="IH74" s="19"/>
      <c r="II74" s="19"/>
      <c r="IJ74" s="19"/>
      <c r="IK74" s="19"/>
      <c r="IL74" s="19"/>
      <c r="IM74" s="19"/>
      <c r="IN74" s="19"/>
      <c r="IO74" s="11"/>
      <c r="IP74" s="11"/>
    </row>
    <row r="75" customHeight="1" spans="1:250">
      <c r="A75" s="30"/>
      <c r="B75" s="35" t="s">
        <v>2365</v>
      </c>
      <c r="C75" s="24" t="s">
        <v>2295</v>
      </c>
      <c r="D75" s="56">
        <f>FLOOR(D74*3600*(D72*D73*10^-6),10)</f>
        <v>1730</v>
      </c>
      <c r="E75" s="56">
        <f>FLOOR(E74*3600*(E72*E73*10^-6),10)</f>
        <v>1730</v>
      </c>
      <c r="F75" s="56">
        <f>FLOOR(F74*3600*(F72*F73*10^-6),10)</f>
        <v>1730</v>
      </c>
      <c r="G75" s="56">
        <f>FLOOR(G74*3600*(G72*G73*10^-6),10)</f>
        <v>1730</v>
      </c>
      <c r="H75" s="56">
        <f>FLOOR(H74*3600*(H72*H73*10^-6),10)</f>
        <v>1730</v>
      </c>
      <c r="I75" s="56"/>
      <c r="J75" s="56"/>
      <c r="K75" s="56"/>
      <c r="L75" s="36"/>
      <c r="M75" s="37"/>
      <c r="N75" s="29"/>
      <c r="Q75" s="98"/>
      <c r="R75" s="98"/>
      <c r="S75" s="98"/>
      <c r="T75" s="129"/>
      <c r="U75" s="129"/>
      <c r="V75" s="129"/>
      <c r="W75" s="129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98"/>
    </row>
    <row r="76" customHeight="1" spans="1:250">
      <c r="A76" s="24"/>
      <c r="B76" s="35" t="s">
        <v>2366</v>
      </c>
      <c r="C76" s="24" t="s">
        <v>2367</v>
      </c>
      <c r="D76" s="130">
        <f>FLOOR(D65/D75,1)</f>
        <v>18</v>
      </c>
      <c r="E76" s="130">
        <f>FLOOR(E65/E75,1)</f>
        <v>18</v>
      </c>
      <c r="F76" s="130">
        <f>FLOOR(F65/F75,1)</f>
        <v>0</v>
      </c>
      <c r="G76" s="130">
        <f>FLOOR(G65/G75,1)</f>
        <v>0</v>
      </c>
      <c r="H76" s="130">
        <f>FLOOR(H65/H75,1)</f>
        <v>0</v>
      </c>
      <c r="I76" s="130"/>
      <c r="J76" s="130"/>
      <c r="K76" s="130"/>
      <c r="L76" s="36">
        <f>SUM(D76:E76)</f>
        <v>36</v>
      </c>
      <c r="M76" s="37"/>
      <c r="N76" s="29"/>
      <c r="Q76" s="98"/>
      <c r="R76" s="98"/>
      <c r="S76" s="98"/>
      <c r="T76" s="129"/>
      <c r="U76" s="129"/>
      <c r="V76" s="129"/>
      <c r="W76" s="129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98"/>
    </row>
    <row r="77" customHeight="1" spans="1:250">
      <c r="A77" s="30"/>
      <c r="B77" s="35" t="s">
        <v>2368</v>
      </c>
      <c r="C77" s="24" t="s">
        <v>2367</v>
      </c>
      <c r="D77" s="53"/>
      <c r="E77" s="53"/>
      <c r="F77" s="53"/>
      <c r="G77" s="53"/>
      <c r="H77" s="53"/>
      <c r="I77" s="53"/>
      <c r="J77" s="53"/>
      <c r="K77" s="53"/>
      <c r="L77" s="36">
        <f>SUM(D77:E77)</f>
        <v>0</v>
      </c>
      <c r="M77" s="37"/>
      <c r="N77" s="29"/>
      <c r="Q77" s="98"/>
      <c r="R77" s="98"/>
      <c r="S77" s="98"/>
      <c r="T77" s="129"/>
      <c r="U77" s="129"/>
      <c r="V77" s="129"/>
      <c r="W77" s="129"/>
      <c r="X77" s="11"/>
      <c r="Y77" s="11"/>
      <c r="Z77" s="4"/>
      <c r="AA77" s="4"/>
      <c r="AB77" s="4"/>
      <c r="AC77" s="4"/>
      <c r="AD77" s="4"/>
      <c r="AE77" s="4"/>
      <c r="AF77" s="4"/>
      <c r="AG77" s="4"/>
      <c r="AH77" s="4"/>
      <c r="AI77" s="98"/>
    </row>
    <row r="78" customHeight="1" spans="1:250">
      <c r="A78" s="24"/>
      <c r="B78" s="35" t="s">
        <v>2369</v>
      </c>
      <c r="C78" s="24" t="s">
        <v>2146</v>
      </c>
      <c r="D78" s="57">
        <f>(D72+25)*(D73+25)*10^-6*D77/D4</f>
        <v>0</v>
      </c>
      <c r="E78" s="57">
        <f>(E72+25)*(E73+25)*10^-6*E77/E4</f>
        <v>0</v>
      </c>
      <c r="F78" s="57" t="e">
        <f>(F72+25)*(F73+25)*10^-6*F77/F4</f>
        <v>#DIV/0!</v>
      </c>
      <c r="G78" s="57" t="e">
        <f>(G72+25)*(G73+25)*10^-6*G77/G4</f>
        <v>#DIV/0!</v>
      </c>
      <c r="H78" s="57" t="e">
        <f>(H72+25)*(H73+25)*10^-6*H77/H4</f>
        <v>#DIV/0!</v>
      </c>
      <c r="I78" s="57"/>
      <c r="J78" s="57"/>
      <c r="K78" s="57"/>
      <c r="L78" s="36"/>
      <c r="M78" s="37"/>
      <c r="N78" s="29"/>
      <c r="Q78" s="98"/>
      <c r="R78" s="98"/>
      <c r="S78" s="98"/>
      <c r="T78" s="129"/>
      <c r="U78" s="129"/>
      <c r="V78" s="129"/>
      <c r="W78" s="129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98"/>
    </row>
    <row r="79" customHeight="1" spans="1:250">
      <c r="A79" s="24"/>
      <c r="B79" s="60" t="s">
        <v>2370</v>
      </c>
      <c r="C79" s="24" t="s">
        <v>2146</v>
      </c>
      <c r="D79" s="57">
        <f>D70/3600/D4/2</f>
        <v>0.0151265126512651</v>
      </c>
      <c r="E79" s="57">
        <f>E70/3600/E4/2</f>
        <v>0.0151265126512651</v>
      </c>
      <c r="F79" s="57" t="e">
        <f>F70/3600/F4/2</f>
        <v>#DIV/0!</v>
      </c>
      <c r="G79" s="57" t="e">
        <f>G70/3600/G4/2</f>
        <v>#DIV/0!</v>
      </c>
      <c r="H79" s="57" t="e">
        <f>H70/3600/H4/2</f>
        <v>#DIV/0!</v>
      </c>
      <c r="I79" s="57"/>
      <c r="J79" s="57"/>
      <c r="K79" s="57"/>
      <c r="L79" s="36"/>
      <c r="M79" s="37"/>
      <c r="N79" s="54" t="s">
        <v>2371</v>
      </c>
      <c r="Q79" s="98"/>
      <c r="R79" s="98"/>
      <c r="S79" s="98"/>
      <c r="T79" s="129"/>
      <c r="U79" s="129"/>
      <c r="V79" s="129"/>
      <c r="W79" s="129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98"/>
    </row>
    <row r="80" customHeight="1" spans="1:250">
      <c r="A80" s="24"/>
      <c r="B80" s="60" t="s">
        <v>2372</v>
      </c>
      <c r="C80" s="24" t="s">
        <v>2146</v>
      </c>
      <c r="D80" s="57">
        <f>D79/$M$80</f>
        <v>0.0889794861839125</v>
      </c>
      <c r="E80" s="57">
        <f>E79/$M$80</f>
        <v>0.0889794861839125</v>
      </c>
      <c r="F80" s="57" t="e">
        <f>F79/$M$80</f>
        <v>#DIV/0!</v>
      </c>
      <c r="G80" s="57" t="e">
        <f>G79/$M$80</f>
        <v>#DIV/0!</v>
      </c>
      <c r="H80" s="57" t="e">
        <f>H79/$M$80</f>
        <v>#DIV/0!</v>
      </c>
      <c r="I80" s="57"/>
      <c r="J80" s="57"/>
      <c r="K80" s="57"/>
      <c r="L80" s="36"/>
      <c r="M80" s="131">
        <v>0.17</v>
      </c>
      <c r="N80" s="54"/>
      <c r="Q80" s="98"/>
      <c r="R80" s="98"/>
      <c r="S80" s="98"/>
      <c r="T80" s="129"/>
      <c r="U80" s="129"/>
      <c r="V80" s="129"/>
      <c r="W80" s="129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98"/>
    </row>
    <row r="81" customHeight="1" spans="1:250">
      <c r="A81" s="30"/>
      <c r="B81" s="35" t="s">
        <v>2373</v>
      </c>
      <c r="C81" s="24" t="s">
        <v>2251</v>
      </c>
      <c r="D81" s="130">
        <f>1.2*(12.553*(D100^1.646))</f>
        <v>5.58978752840402</v>
      </c>
      <c r="E81" s="130">
        <f>1.2*(12.553*(E100^1.646))</f>
        <v>5.58978752840402</v>
      </c>
      <c r="F81" s="130">
        <f>1.2*(12.553*(F100^1.646))</f>
        <v>0</v>
      </c>
      <c r="G81" s="130">
        <f>1.2*(12.553*(G100^1.646))</f>
        <v>0</v>
      </c>
      <c r="H81" s="130">
        <f>1.2*(12.553*(H100^1.646))</f>
        <v>0</v>
      </c>
      <c r="I81" s="130"/>
      <c r="J81" s="130"/>
      <c r="K81" s="130"/>
      <c r="L81" s="36"/>
      <c r="M81" s="37"/>
      <c r="N81" s="132"/>
      <c r="Q81" s="98"/>
      <c r="R81" s="98"/>
      <c r="S81" s="98"/>
      <c r="T81" s="129"/>
      <c r="U81" s="129"/>
      <c r="V81" s="129"/>
      <c r="W81" s="129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98"/>
    </row>
    <row r="82" customHeight="1" spans="1:250">
      <c r="A82" s="30"/>
      <c r="B82" s="35" t="s">
        <v>2374</v>
      </c>
      <c r="C82" s="24" t="s">
        <v>2251</v>
      </c>
      <c r="D82" s="130">
        <f>1.2*(2*(D117^1.4121))</f>
        <v>1.18056345712921</v>
      </c>
      <c r="E82" s="130">
        <f>1.2*(2*(E117^1.4121))</f>
        <v>1.18056345712921</v>
      </c>
      <c r="F82" s="130">
        <f>1.2*(2*(F117^1.4121))</f>
        <v>0</v>
      </c>
      <c r="G82" s="130">
        <f>1.2*(2*(G117^1.4121))</f>
        <v>0</v>
      </c>
      <c r="H82" s="130">
        <f>1.2*(2*(H117^1.4121))</f>
        <v>0</v>
      </c>
      <c r="I82" s="130"/>
      <c r="J82" s="130"/>
      <c r="K82" s="130"/>
      <c r="L82" s="36"/>
      <c r="M82" s="37"/>
      <c r="N82" s="133"/>
      <c r="Q82" s="98"/>
      <c r="R82" s="98"/>
      <c r="S82" s="98"/>
      <c r="T82" s="129"/>
      <c r="U82" s="129"/>
      <c r="V82" s="129"/>
      <c r="W82" s="12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98"/>
    </row>
    <row r="83" customHeight="1" spans="1:250">
      <c r="A83" s="24"/>
      <c r="B83" s="35" t="s">
        <v>2375</v>
      </c>
      <c r="C83" s="24" t="s">
        <v>2251</v>
      </c>
      <c r="D83" s="53">
        <v>140</v>
      </c>
      <c r="E83" s="53">
        <v>140</v>
      </c>
      <c r="F83" s="53">
        <v>140</v>
      </c>
      <c r="G83" s="53">
        <v>140</v>
      </c>
      <c r="H83" s="53">
        <v>140</v>
      </c>
      <c r="I83" s="53"/>
      <c r="J83" s="53"/>
      <c r="K83" s="53"/>
      <c r="L83" s="36"/>
      <c r="M83" s="37"/>
      <c r="N83" s="133"/>
      <c r="Q83" s="98"/>
      <c r="R83" s="98"/>
      <c r="S83" s="98"/>
      <c r="T83" s="129"/>
      <c r="U83" s="129"/>
      <c r="V83" s="129"/>
      <c r="W83" s="129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98"/>
    </row>
    <row r="84" customHeight="1" spans="1:250">
      <c r="A84" s="30"/>
      <c r="B84" s="35" t="s">
        <v>2376</v>
      </c>
      <c r="C84" s="24" t="s">
        <v>2251</v>
      </c>
      <c r="D84" s="53">
        <v>20</v>
      </c>
      <c r="E84" s="53">
        <v>20</v>
      </c>
      <c r="F84" s="53">
        <v>20</v>
      </c>
      <c r="G84" s="53">
        <v>20</v>
      </c>
      <c r="H84" s="53">
        <v>20</v>
      </c>
      <c r="I84" s="53"/>
      <c r="J84" s="53"/>
      <c r="K84" s="53"/>
      <c r="L84" s="36"/>
      <c r="M84" s="37"/>
      <c r="N84" s="133"/>
      <c r="Q84" s="98"/>
      <c r="R84" s="98"/>
      <c r="S84" s="98"/>
      <c r="T84" s="129"/>
      <c r="U84" s="129"/>
      <c r="V84" s="129"/>
      <c r="W84" s="129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98"/>
    </row>
    <row r="85" customHeight="1" spans="1:250">
      <c r="A85" s="30"/>
      <c r="B85" s="60" t="s">
        <v>2377</v>
      </c>
      <c r="C85" s="24" t="s">
        <v>2251</v>
      </c>
      <c r="D85" s="53">
        <v>15</v>
      </c>
      <c r="E85" s="53">
        <v>15</v>
      </c>
      <c r="F85" s="53">
        <v>15</v>
      </c>
      <c r="G85" s="53">
        <v>15</v>
      </c>
      <c r="H85" s="53">
        <v>15</v>
      </c>
      <c r="I85" s="53"/>
      <c r="J85" s="53"/>
      <c r="K85" s="53"/>
      <c r="L85" s="36"/>
      <c r="M85" s="37"/>
      <c r="N85" s="133"/>
      <c r="Q85" s="98"/>
      <c r="R85" s="98"/>
      <c r="S85" s="98"/>
      <c r="T85" s="98"/>
      <c r="U85" s="98"/>
      <c r="V85" s="98"/>
      <c r="W85" s="98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98"/>
    </row>
    <row r="86" customHeight="1" spans="1:250">
      <c r="A86" s="24"/>
      <c r="B86" s="35" t="s">
        <v>2378</v>
      </c>
      <c r="C86" s="24" t="s">
        <v>2251</v>
      </c>
      <c r="D86" s="56">
        <f>SUM(D81:D85)</f>
        <v>181.770350985533</v>
      </c>
      <c r="E86" s="56">
        <f>SUM(E81:E85)</f>
        <v>181.770350985533</v>
      </c>
      <c r="F86" s="56">
        <f>SUM(F81:F85)</f>
        <v>175</v>
      </c>
      <c r="G86" s="56">
        <f>SUM(G81:G85)</f>
        <v>175</v>
      </c>
      <c r="H86" s="56">
        <f>SUM(H81:H85)</f>
        <v>175</v>
      </c>
      <c r="I86" s="56"/>
      <c r="J86" s="56"/>
      <c r="K86" s="56"/>
      <c r="L86" s="36"/>
      <c r="M86" s="37"/>
      <c r="N86" s="133"/>
      <c r="T86" s="108"/>
      <c r="U86" s="108"/>
      <c r="V86" s="108"/>
      <c r="W86" s="108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customHeight="1" spans="1:250">
      <c r="A87" s="30"/>
      <c r="B87" s="35" t="s">
        <v>2379</v>
      </c>
      <c r="C87" s="24" t="s">
        <v>2331</v>
      </c>
      <c r="D87" s="130">
        <f>D75*(D86+70)*1.8/3600/1000</f>
        <v>0.217781353602486</v>
      </c>
      <c r="E87" s="130">
        <f>E75*(E86+70)*1.8/3600/1000</f>
        <v>0.217781353602486</v>
      </c>
      <c r="F87" s="130">
        <f>F75*(F86+70)*1.8/3600/1000</f>
        <v>0.211925</v>
      </c>
      <c r="G87" s="130">
        <f>G75*(G86+70)*1.8/3600/1000</f>
        <v>0.211925</v>
      </c>
      <c r="H87" s="130">
        <f>H75*(H86+70)*1.8/3600/1000</f>
        <v>0.211925</v>
      </c>
      <c r="I87" s="130"/>
      <c r="J87" s="130"/>
      <c r="K87" s="130"/>
      <c r="L87" s="36"/>
      <c r="M87" s="37"/>
      <c r="N87" s="133"/>
      <c r="T87" s="108"/>
      <c r="U87" s="108"/>
      <c r="V87" s="108"/>
      <c r="W87" s="108"/>
      <c r="X87" s="134"/>
      <c r="Y87" s="134"/>
      <c r="Z87" s="134"/>
      <c r="AA87" s="135"/>
      <c r="AB87" s="135"/>
      <c r="AC87" s="134"/>
      <c r="AD87" s="134"/>
      <c r="AE87" s="134"/>
      <c r="AF87" s="134"/>
      <c r="AG87" s="11"/>
      <c r="AH87" s="11"/>
    </row>
    <row r="88" customHeight="1" spans="1:250">
      <c r="A88" s="30"/>
      <c r="B88" s="35" t="s">
        <v>2380</v>
      </c>
      <c r="C88" s="24" t="s">
        <v>2331</v>
      </c>
      <c r="D88" s="130">
        <f>D87*D77</f>
        <v>0</v>
      </c>
      <c r="E88" s="130">
        <f>E87*E77</f>
        <v>0</v>
      </c>
      <c r="F88" s="130">
        <f>F87*F77</f>
        <v>0</v>
      </c>
      <c r="G88" s="130">
        <f>G87*G77</f>
        <v>0</v>
      </c>
      <c r="H88" s="130">
        <f>H87*H77</f>
        <v>0</v>
      </c>
      <c r="I88" s="130"/>
      <c r="J88" s="130"/>
      <c r="K88" s="130"/>
      <c r="L88" s="36"/>
      <c r="M88" s="37"/>
      <c r="N88" s="133"/>
      <c r="T88" s="108"/>
      <c r="U88" s="108"/>
      <c r="V88" s="108"/>
      <c r="W88" s="108"/>
      <c r="X88" s="135"/>
      <c r="Y88" s="136"/>
      <c r="Z88" s="134"/>
      <c r="AA88" s="137"/>
      <c r="AB88" s="137"/>
      <c r="AC88" s="134"/>
      <c r="AD88" s="134"/>
      <c r="AE88" s="134"/>
      <c r="AF88" s="134"/>
      <c r="AG88" s="11"/>
      <c r="AH88" s="11"/>
    </row>
    <row r="89" customHeight="1" spans="1:250">
      <c r="A89" s="24"/>
      <c r="B89" s="60"/>
      <c r="C89" s="24"/>
      <c r="D89" s="138"/>
      <c r="E89" s="138"/>
      <c r="F89" s="138"/>
      <c r="G89" s="138"/>
      <c r="H89" s="138"/>
      <c r="I89" s="138"/>
      <c r="J89" s="138"/>
      <c r="K89" s="138"/>
      <c r="L89" s="139"/>
      <c r="M89" s="37"/>
      <c r="N89" s="54"/>
      <c r="T89" s="108"/>
      <c r="U89" s="108"/>
      <c r="V89" s="108"/>
      <c r="W89" s="108"/>
      <c r="X89" s="135"/>
      <c r="Y89" s="136"/>
      <c r="Z89" s="134"/>
      <c r="AA89" s="137"/>
      <c r="AB89" s="137"/>
      <c r="AC89" s="134"/>
      <c r="AD89" s="134"/>
      <c r="AE89" s="134"/>
      <c r="AF89" s="134"/>
      <c r="AG89" s="11"/>
      <c r="AH89" s="11"/>
    </row>
    <row r="90" s="14" customFormat="1" ht="15" customHeight="1" spans="1:250">
      <c r="A90" s="124"/>
      <c r="B90" s="65" t="s">
        <v>2381</v>
      </c>
      <c r="C90" s="124"/>
      <c r="D90" s="124"/>
      <c r="E90" s="124"/>
      <c r="F90" s="124"/>
      <c r="G90" s="124"/>
      <c r="H90" s="124"/>
      <c r="I90" s="124"/>
      <c r="J90" s="124"/>
      <c r="K90" s="124"/>
      <c r="L90" s="125"/>
      <c r="M90" s="125"/>
      <c r="N90" s="126"/>
      <c r="O90" s="19"/>
      <c r="P90" s="19"/>
      <c r="Q90" s="19"/>
      <c r="R90" s="19"/>
      <c r="S90" s="19"/>
      <c r="T90" s="108"/>
      <c r="U90" s="108"/>
      <c r="V90" s="108"/>
      <c r="W90" s="108"/>
      <c r="X90" s="135"/>
      <c r="Y90" s="136"/>
      <c r="Z90" s="134"/>
      <c r="AA90" s="137"/>
      <c r="AB90" s="137"/>
      <c r="AC90" s="134"/>
      <c r="AD90" s="134"/>
      <c r="AE90" s="134"/>
      <c r="AF90" s="134"/>
      <c r="AG90" s="11"/>
      <c r="AH90" s="11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19"/>
      <c r="HF90" s="19"/>
      <c r="HG90" s="19"/>
      <c r="HH90" s="19"/>
      <c r="HI90" s="19"/>
      <c r="HJ90" s="19"/>
      <c r="HK90" s="19"/>
      <c r="HL90" s="19"/>
      <c r="HM90" s="19"/>
      <c r="HN90" s="19"/>
      <c r="HO90" s="19"/>
      <c r="HP90" s="19"/>
      <c r="HQ90" s="19"/>
      <c r="HR90" s="19"/>
      <c r="HS90" s="19"/>
      <c r="HT90" s="19"/>
      <c r="HU90" s="19"/>
      <c r="HV90" s="19"/>
      <c r="HW90" s="19"/>
      <c r="HX90" s="19"/>
      <c r="HY90" s="19"/>
      <c r="HZ90" s="19"/>
      <c r="IA90" s="11"/>
      <c r="IB90" s="19"/>
      <c r="IC90" s="19"/>
      <c r="ID90" s="19"/>
      <c r="IE90" s="19"/>
      <c r="IF90" s="19"/>
      <c r="IG90" s="19"/>
      <c r="IH90" s="19"/>
      <c r="II90" s="19"/>
      <c r="IJ90" s="19"/>
      <c r="IK90" s="19"/>
      <c r="IL90" s="19"/>
      <c r="IM90" s="19"/>
      <c r="IN90" s="19"/>
      <c r="IO90" s="11"/>
      <c r="IP90" s="11"/>
    </row>
    <row r="91" customHeight="1" spans="1:250">
      <c r="A91" s="30"/>
      <c r="B91" s="35" t="s">
        <v>2382</v>
      </c>
      <c r="C91" s="24" t="s">
        <v>2363</v>
      </c>
      <c r="D91" s="53">
        <v>1200</v>
      </c>
      <c r="E91" s="53">
        <v>1200</v>
      </c>
      <c r="F91" s="53">
        <v>1200</v>
      </c>
      <c r="G91" s="53">
        <v>1200</v>
      </c>
      <c r="H91" s="53">
        <v>1200</v>
      </c>
      <c r="I91" s="53"/>
      <c r="J91" s="53"/>
      <c r="K91" s="53"/>
      <c r="L91" s="139"/>
      <c r="M91" s="37"/>
      <c r="N91" s="29"/>
      <c r="T91" s="108"/>
      <c r="U91" s="108"/>
      <c r="V91" s="108"/>
      <c r="W91" s="108"/>
      <c r="X91" s="135"/>
      <c r="Y91" s="136"/>
      <c r="Z91" s="134"/>
      <c r="AA91" s="137"/>
      <c r="AB91" s="137"/>
      <c r="AC91" s="134"/>
      <c r="AD91" s="134"/>
      <c r="AE91" s="134"/>
      <c r="AF91" s="134"/>
      <c r="AG91" s="11"/>
      <c r="AH91" s="11"/>
    </row>
    <row r="92" customHeight="1" spans="1:250">
      <c r="A92" s="30"/>
      <c r="B92" s="35" t="s">
        <v>2382</v>
      </c>
      <c r="C92" s="24" t="s">
        <v>2363</v>
      </c>
      <c r="D92" s="53">
        <v>1200</v>
      </c>
      <c r="E92" s="53">
        <v>1200</v>
      </c>
      <c r="F92" s="53">
        <v>1200</v>
      </c>
      <c r="G92" s="53">
        <v>1200</v>
      </c>
      <c r="H92" s="53">
        <v>1200</v>
      </c>
      <c r="I92" s="53"/>
      <c r="J92" s="53"/>
      <c r="K92" s="53"/>
      <c r="L92" s="139"/>
      <c r="M92" s="37"/>
      <c r="N92" s="29"/>
      <c r="T92" s="11"/>
      <c r="U92" s="11"/>
      <c r="V92" s="11"/>
      <c r="W92" s="11"/>
      <c r="X92" s="135"/>
      <c r="Y92" s="136"/>
      <c r="Z92" s="135"/>
      <c r="AA92" s="134"/>
      <c r="AB92" s="134"/>
      <c r="AC92" s="134"/>
      <c r="AD92" s="135"/>
      <c r="AE92" s="134"/>
      <c r="AF92" s="134"/>
      <c r="AG92" s="11"/>
      <c r="AH92" s="11"/>
    </row>
    <row r="93" customHeight="1" spans="1:250">
      <c r="A93" s="30"/>
      <c r="B93" s="60" t="s">
        <v>2383</v>
      </c>
      <c r="C93" s="24" t="s">
        <v>2293</v>
      </c>
      <c r="D93" s="62">
        <v>2</v>
      </c>
      <c r="E93" s="62">
        <v>2</v>
      </c>
      <c r="F93" s="62">
        <v>2</v>
      </c>
      <c r="G93" s="62">
        <v>2</v>
      </c>
      <c r="H93" s="62">
        <v>2</v>
      </c>
      <c r="I93" s="62"/>
      <c r="J93" s="62"/>
      <c r="K93" s="62"/>
      <c r="L93" s="139"/>
      <c r="M93" s="37"/>
      <c r="N93" s="29"/>
      <c r="T93" s="11"/>
      <c r="U93" s="11"/>
      <c r="V93" s="11"/>
      <c r="W93" s="11"/>
      <c r="X93" s="135"/>
      <c r="Y93" s="136"/>
      <c r="Z93" s="135"/>
      <c r="AA93" s="134"/>
      <c r="AB93" s="134"/>
      <c r="AC93" s="134"/>
      <c r="AD93" s="135"/>
      <c r="AE93" s="134"/>
      <c r="AF93" s="134"/>
      <c r="AG93" s="11"/>
      <c r="AH93" s="11"/>
    </row>
    <row r="94" customHeight="1" spans="1:250">
      <c r="A94" s="30"/>
      <c r="B94" s="60" t="s">
        <v>2384</v>
      </c>
      <c r="C94" s="24" t="s">
        <v>2367</v>
      </c>
      <c r="D94" s="56">
        <f>ROUNDUP(D70/3600/D93/(0.85*D91*D92/10^6),1)</f>
        <v>3.6</v>
      </c>
      <c r="E94" s="56">
        <f>ROUNDUP(E70/3600/E93/(0.85*E91*E92/10^6),1)</f>
        <v>3.6</v>
      </c>
      <c r="F94" s="56">
        <f>ROUNDUP(F70/3600/F93/(0.85*F91*F92/10^6),1)</f>
        <v>0</v>
      </c>
      <c r="G94" s="56">
        <f>ROUNDUP(G70/3600/G93/(0.85*G91*G92/10^6),1)</f>
        <v>0</v>
      </c>
      <c r="H94" s="56">
        <f>ROUNDUP(H70/3600/H93/(0.85*H91*H92/10^6),1)</f>
        <v>0</v>
      </c>
      <c r="I94" s="56"/>
      <c r="J94" s="56"/>
      <c r="K94" s="56"/>
      <c r="L94" s="139"/>
      <c r="M94" s="37"/>
      <c r="N94" s="54" t="s">
        <v>2385</v>
      </c>
      <c r="T94" s="11"/>
      <c r="U94" s="11"/>
      <c r="V94" s="11"/>
      <c r="W94" s="11"/>
      <c r="X94" s="134"/>
      <c r="Y94" s="134"/>
      <c r="Z94" s="135"/>
      <c r="AA94" s="134"/>
      <c r="AB94" s="134"/>
      <c r="AC94" s="134"/>
      <c r="AD94" s="135"/>
      <c r="AE94" s="134"/>
      <c r="AF94" s="134"/>
      <c r="AG94" s="11"/>
      <c r="AH94" s="11"/>
    </row>
    <row r="95" customHeight="1" spans="1:250">
      <c r="A95" s="24"/>
      <c r="B95" s="60" t="s">
        <v>2386</v>
      </c>
      <c r="C95" s="24" t="s">
        <v>2367</v>
      </c>
      <c r="D95" s="58">
        <v>13</v>
      </c>
      <c r="E95" s="58">
        <v>13</v>
      </c>
      <c r="F95" s="58">
        <v>13</v>
      </c>
      <c r="G95" s="58">
        <v>13</v>
      </c>
      <c r="H95" s="58">
        <v>13</v>
      </c>
      <c r="I95" s="58"/>
      <c r="J95" s="58"/>
      <c r="K95" s="58"/>
      <c r="L95" s="139"/>
      <c r="M95" s="37"/>
      <c r="N95" s="29"/>
      <c r="T95" s="11"/>
      <c r="U95" s="11"/>
      <c r="V95" s="11"/>
      <c r="W95" s="11"/>
      <c r="X95" s="134"/>
      <c r="Y95" s="134"/>
      <c r="Z95" s="135"/>
      <c r="AA95" s="134"/>
      <c r="AB95" s="134"/>
      <c r="AC95" s="134"/>
      <c r="AD95" s="135"/>
      <c r="AE95" s="134"/>
      <c r="AF95" s="134"/>
      <c r="AG95" s="11"/>
      <c r="AH95" s="11"/>
    </row>
    <row r="96" customHeight="1" spans="1:250">
      <c r="A96" s="30"/>
      <c r="B96" s="35" t="s">
        <v>2387</v>
      </c>
      <c r="C96" s="24" t="s">
        <v>2295</v>
      </c>
      <c r="D96" s="56">
        <f>D70/D95</f>
        <v>2412.79512566641</v>
      </c>
      <c r="E96" s="56">
        <f>E70/E95</f>
        <v>2412.79512566641</v>
      </c>
      <c r="F96" s="56">
        <f>F70/F95</f>
        <v>0</v>
      </c>
      <c r="G96" s="56">
        <f>G70/G95</f>
        <v>0</v>
      </c>
      <c r="H96" s="56">
        <f>H70/H95</f>
        <v>0</v>
      </c>
      <c r="I96" s="56"/>
      <c r="J96" s="56"/>
      <c r="K96" s="56"/>
      <c r="L96" s="68"/>
      <c r="M96" s="37"/>
      <c r="N96" s="29"/>
      <c r="T96" s="6"/>
      <c r="U96" s="6"/>
      <c r="V96" s="6"/>
      <c r="W96" s="6"/>
      <c r="X96" s="11"/>
      <c r="Y96" s="11"/>
      <c r="Z96" s="11"/>
      <c r="AA96" s="11"/>
      <c r="AB96" s="11"/>
      <c r="AC96" s="11"/>
      <c r="AD96" s="11"/>
      <c r="AE96" s="11"/>
      <c r="AF96" s="134"/>
      <c r="AG96" s="11"/>
      <c r="AH96" s="11"/>
    </row>
    <row r="97" customHeight="1" spans="1:250">
      <c r="A97" s="24"/>
      <c r="B97" s="60" t="s">
        <v>2388</v>
      </c>
      <c r="C97" s="24" t="s">
        <v>2331</v>
      </c>
      <c r="D97" s="130">
        <f>D53/D95</f>
        <v>2.43692307692308</v>
      </c>
      <c r="E97" s="130">
        <f>E53/E95</f>
        <v>2.43692307692308</v>
      </c>
      <c r="F97" s="130">
        <f>F53/F95</f>
        <v>0</v>
      </c>
      <c r="G97" s="130">
        <f>G53/G95</f>
        <v>0</v>
      </c>
      <c r="H97" s="130">
        <f>H53/H95</f>
        <v>0</v>
      </c>
      <c r="I97" s="130"/>
      <c r="J97" s="130"/>
      <c r="K97" s="130"/>
      <c r="L97" s="68"/>
      <c r="M97" s="37"/>
      <c r="N97" s="54" t="s">
        <v>2389</v>
      </c>
    </row>
    <row r="98" customHeight="1" spans="1:250">
      <c r="A98" s="24"/>
      <c r="B98" s="60" t="s">
        <v>2390</v>
      </c>
      <c r="C98" s="24" t="s">
        <v>2281</v>
      </c>
      <c r="D98" s="140">
        <v>5</v>
      </c>
      <c r="E98" s="140">
        <v>5</v>
      </c>
      <c r="F98" s="140">
        <v>5</v>
      </c>
      <c r="G98" s="140">
        <v>5</v>
      </c>
      <c r="H98" s="140">
        <v>5</v>
      </c>
      <c r="I98" s="140"/>
      <c r="J98" s="140"/>
      <c r="K98" s="140"/>
      <c r="L98" s="68"/>
      <c r="M98" s="37"/>
      <c r="N98" s="54"/>
    </row>
    <row r="99" customHeight="1" spans="1:250">
      <c r="A99" s="24"/>
      <c r="B99" s="60" t="s">
        <v>2391</v>
      </c>
      <c r="C99" s="24" t="s">
        <v>2392</v>
      </c>
      <c r="D99" s="130">
        <f>D97*3600/1000/4.2/D98</f>
        <v>0.417758241758242</v>
      </c>
      <c r="E99" s="130">
        <f>E97*3600/1000/4.2/E98</f>
        <v>0.417758241758242</v>
      </c>
      <c r="F99" s="130">
        <f>F97*3600/1000/4.2/F98</f>
        <v>0</v>
      </c>
      <c r="G99" s="130">
        <f>G97*3600/1000/4.2/G98</f>
        <v>0</v>
      </c>
      <c r="H99" s="130">
        <f>H97*3600/1000/4.2/H98</f>
        <v>0</v>
      </c>
      <c r="I99" s="130"/>
      <c r="J99" s="130"/>
      <c r="K99" s="130"/>
      <c r="L99" s="68"/>
      <c r="M99" s="37"/>
      <c r="N99" s="54" t="s">
        <v>2393</v>
      </c>
    </row>
    <row r="100" customHeight="1" spans="1:250">
      <c r="A100" s="30"/>
      <c r="B100" s="60" t="s">
        <v>2394</v>
      </c>
      <c r="C100" s="24" t="s">
        <v>2293</v>
      </c>
      <c r="D100" s="130">
        <f>D96/(0.85*D91*D92*10^-6)/3600</f>
        <v>0.547566068824077</v>
      </c>
      <c r="E100" s="130">
        <f>E96/(0.85*E91*E92*10^-6)/3600</f>
        <v>0.547566068824077</v>
      </c>
      <c r="F100" s="130">
        <f>F96/(0.85*F91*F92*10^-6)/3600</f>
        <v>0</v>
      </c>
      <c r="G100" s="130">
        <f>G96/(0.85*G91*G92*10^-6)/3600</f>
        <v>0</v>
      </c>
      <c r="H100" s="130">
        <f>H96/(0.85*H91*H92*10^-6)/3600</f>
        <v>0</v>
      </c>
      <c r="I100" s="130"/>
      <c r="J100" s="130"/>
      <c r="K100" s="130"/>
      <c r="L100" s="68"/>
      <c r="M100" s="37"/>
      <c r="N100" s="54" t="s">
        <v>2395</v>
      </c>
    </row>
    <row r="101" customHeight="1" spans="1:250">
      <c r="A101" s="30"/>
      <c r="B101" s="60" t="s">
        <v>2396</v>
      </c>
      <c r="C101" s="24" t="s">
        <v>2281</v>
      </c>
      <c r="D101" s="130">
        <f>D97*3600/1.01/1.2/D96</f>
        <v>3</v>
      </c>
      <c r="E101" s="130">
        <f>E97*3600/1.01/1.2/E96</f>
        <v>3</v>
      </c>
      <c r="F101" s="130" t="e">
        <f>F97*3600/1.01/1.2/F96</f>
        <v>#DIV/0!</v>
      </c>
      <c r="G101" s="130" t="e">
        <f>G97*3600/1.01/1.2/G96</f>
        <v>#DIV/0!</v>
      </c>
      <c r="H101" s="130" t="e">
        <f>H97*3600/1.01/1.2/H96</f>
        <v>#DIV/0!</v>
      </c>
      <c r="I101" s="130"/>
      <c r="J101" s="130"/>
      <c r="K101" s="130"/>
      <c r="L101" s="68"/>
      <c r="M101" s="37"/>
      <c r="N101" s="54"/>
    </row>
    <row r="102" s="15" customFormat="1" customHeight="1" spans="1:250">
      <c r="A102" s="141"/>
      <c r="B102" s="65" t="s">
        <v>2397</v>
      </c>
      <c r="C102" s="124"/>
      <c r="D102" s="124"/>
      <c r="E102" s="124"/>
      <c r="F102" s="124"/>
      <c r="G102" s="124"/>
      <c r="H102" s="124"/>
      <c r="I102" s="124"/>
      <c r="J102" s="124"/>
      <c r="K102" s="124"/>
      <c r="L102" s="125"/>
      <c r="M102" s="125"/>
      <c r="N102" s="126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9"/>
      <c r="GY102" s="19"/>
      <c r="GZ102" s="19"/>
      <c r="HA102" s="19"/>
      <c r="HB102" s="19"/>
      <c r="HC102" s="19"/>
      <c r="HD102" s="19"/>
      <c r="HE102" s="19"/>
      <c r="HF102" s="19"/>
      <c r="HG102" s="19"/>
      <c r="HH102" s="19"/>
      <c r="HI102" s="19"/>
      <c r="HJ102" s="19"/>
      <c r="HK102" s="19"/>
      <c r="HL102" s="19"/>
      <c r="HM102" s="19"/>
      <c r="HN102" s="19"/>
      <c r="HO102" s="19"/>
      <c r="HP102" s="19"/>
      <c r="HQ102" s="19"/>
      <c r="HR102" s="19"/>
      <c r="HS102" s="19"/>
      <c r="HT102" s="19"/>
      <c r="HU102" s="19"/>
      <c r="HV102" s="19"/>
      <c r="HW102" s="19"/>
      <c r="HX102" s="19"/>
      <c r="HY102" s="19"/>
      <c r="HZ102" s="19"/>
      <c r="IA102" s="11"/>
      <c r="IB102" s="19"/>
      <c r="IC102" s="19"/>
      <c r="ID102" s="19"/>
      <c r="IE102" s="19"/>
      <c r="IF102" s="19"/>
      <c r="IG102" s="19"/>
      <c r="IH102" s="19"/>
      <c r="II102" s="19"/>
      <c r="IJ102" s="19"/>
      <c r="IK102" s="19"/>
      <c r="IL102" s="19"/>
      <c r="IM102" s="19"/>
      <c r="IN102" s="19"/>
      <c r="IO102" s="11"/>
      <c r="IP102" s="11"/>
    </row>
    <row r="103" customHeight="1" spans="1:250">
      <c r="A103" s="24"/>
      <c r="B103" s="35" t="s">
        <v>2364</v>
      </c>
      <c r="C103" s="24" t="s">
        <v>2293</v>
      </c>
      <c r="D103" s="58">
        <v>2</v>
      </c>
      <c r="E103" s="58">
        <v>2</v>
      </c>
      <c r="F103" s="58">
        <v>2</v>
      </c>
      <c r="G103" s="58">
        <v>2</v>
      </c>
      <c r="H103" s="58">
        <v>2</v>
      </c>
      <c r="I103" s="58"/>
      <c r="J103" s="58"/>
      <c r="K103" s="58"/>
      <c r="L103" s="68"/>
      <c r="M103" s="37"/>
      <c r="N103" s="29"/>
    </row>
    <row r="104" customHeight="1" spans="1:250">
      <c r="A104" s="30"/>
      <c r="B104" s="35" t="s">
        <v>2398</v>
      </c>
      <c r="C104" s="24" t="s">
        <v>2239</v>
      </c>
      <c r="D104" s="130">
        <f>D70/3600/D103</f>
        <v>4.35643564356436</v>
      </c>
      <c r="E104" s="130">
        <f>E70/3600/E103</f>
        <v>4.35643564356436</v>
      </c>
      <c r="F104" s="130">
        <f>F70/3600/F103</f>
        <v>0</v>
      </c>
      <c r="G104" s="130">
        <f>G70/3600/G103</f>
        <v>0</v>
      </c>
      <c r="H104" s="130">
        <f>H70/3600/H103</f>
        <v>0</v>
      </c>
      <c r="I104" s="130"/>
      <c r="J104" s="130"/>
      <c r="K104" s="130"/>
      <c r="L104" s="68"/>
      <c r="M104" s="37"/>
      <c r="N104" s="29"/>
    </row>
    <row r="105" customHeight="1" spans="1:250">
      <c r="A105" s="24"/>
      <c r="B105" s="35" t="s">
        <v>2399</v>
      </c>
      <c r="C105" s="24" t="s">
        <v>2363</v>
      </c>
      <c r="D105" s="53">
        <v>700</v>
      </c>
      <c r="E105" s="53">
        <v>700</v>
      </c>
      <c r="F105" s="53">
        <v>700</v>
      </c>
      <c r="G105" s="53">
        <v>700</v>
      </c>
      <c r="H105" s="53">
        <v>700</v>
      </c>
      <c r="I105" s="53"/>
      <c r="J105" s="53"/>
      <c r="K105" s="53"/>
      <c r="L105" s="139"/>
      <c r="M105" s="37"/>
      <c r="N105" s="29"/>
    </row>
    <row r="106" customHeight="1" spans="1:250">
      <c r="A106" s="30"/>
      <c r="B106" s="35" t="s">
        <v>2400</v>
      </c>
      <c r="C106" s="24" t="s">
        <v>2125</v>
      </c>
      <c r="D106" s="130">
        <f>D104/(D105/1000)</f>
        <v>6.22347949080622</v>
      </c>
      <c r="E106" s="130">
        <f>E104/(E105/1000)</f>
        <v>6.22347949080622</v>
      </c>
      <c r="F106" s="130">
        <f>F104/(F105/1000)</f>
        <v>0</v>
      </c>
      <c r="G106" s="130">
        <f>G104/(G105/1000)</f>
        <v>0</v>
      </c>
      <c r="H106" s="130">
        <f>H104/(H105/1000)</f>
        <v>0</v>
      </c>
      <c r="I106" s="130"/>
      <c r="J106" s="130"/>
      <c r="K106" s="130"/>
      <c r="L106" s="139"/>
      <c r="M106" s="37"/>
      <c r="N106" s="29"/>
    </row>
    <row r="107" customHeight="1" spans="1:250">
      <c r="A107" s="30"/>
      <c r="B107" s="35" t="s">
        <v>2401</v>
      </c>
      <c r="C107" s="24" t="s">
        <v>2125</v>
      </c>
      <c r="D107" s="140">
        <v>25</v>
      </c>
      <c r="E107" s="140">
        <v>25</v>
      </c>
      <c r="F107" s="140">
        <v>25</v>
      </c>
      <c r="G107" s="140">
        <v>25</v>
      </c>
      <c r="H107" s="140">
        <v>25</v>
      </c>
      <c r="I107" s="140"/>
      <c r="J107" s="140"/>
      <c r="K107" s="140"/>
      <c r="L107" s="139"/>
      <c r="M107" s="37"/>
      <c r="N107" s="29"/>
    </row>
    <row r="108" customHeight="1" spans="1:250">
      <c r="A108" s="24"/>
      <c r="B108" s="35" t="s">
        <v>2402</v>
      </c>
      <c r="C108" s="24" t="s">
        <v>2239</v>
      </c>
      <c r="D108" s="130">
        <f>D105*D107/1000</f>
        <v>17.5</v>
      </c>
      <c r="E108" s="130">
        <f>E105*E107/1000</f>
        <v>17.5</v>
      </c>
      <c r="F108" s="130">
        <f>F105*F107/1000</f>
        <v>17.5</v>
      </c>
      <c r="G108" s="130">
        <f>G105*G107/1000</f>
        <v>17.5</v>
      </c>
      <c r="H108" s="130">
        <f>H105*H107/1000</f>
        <v>17.5</v>
      </c>
      <c r="I108" s="130"/>
      <c r="J108" s="130"/>
      <c r="K108" s="130"/>
      <c r="L108" s="139"/>
      <c r="M108" s="37"/>
      <c r="N108" s="29"/>
    </row>
    <row r="109" customHeight="1" spans="1:250">
      <c r="A109" s="30"/>
      <c r="B109" s="35" t="s">
        <v>2403</v>
      </c>
      <c r="C109" s="24" t="s">
        <v>2293</v>
      </c>
      <c r="D109" s="130">
        <f>D70/3600/D108</f>
        <v>0.497878359264498</v>
      </c>
      <c r="E109" s="130">
        <f>E70/3600/E108</f>
        <v>0.497878359264498</v>
      </c>
      <c r="F109" s="130">
        <f>F70/3600/F108</f>
        <v>0</v>
      </c>
      <c r="G109" s="130">
        <f>G70/3600/G108</f>
        <v>0</v>
      </c>
      <c r="H109" s="130">
        <f>H70/3600/H108</f>
        <v>0</v>
      </c>
      <c r="I109" s="130"/>
      <c r="J109" s="130"/>
      <c r="K109" s="130"/>
      <c r="L109" s="139"/>
      <c r="M109" s="37"/>
      <c r="N109" s="29"/>
    </row>
    <row r="110" customHeight="1" spans="1:250">
      <c r="A110" s="24"/>
      <c r="B110" s="35" t="s">
        <v>2404</v>
      </c>
      <c r="C110" s="24" t="s">
        <v>2363</v>
      </c>
      <c r="D110" s="53">
        <v>400</v>
      </c>
      <c r="E110" s="53">
        <v>400</v>
      </c>
      <c r="F110" s="53">
        <v>400</v>
      </c>
      <c r="G110" s="53">
        <v>400</v>
      </c>
      <c r="H110" s="53">
        <v>400</v>
      </c>
      <c r="I110" s="53"/>
      <c r="J110" s="53"/>
      <c r="K110" s="53"/>
      <c r="L110" s="68"/>
      <c r="M110" s="37"/>
      <c r="N110" s="29"/>
    </row>
    <row r="111" customHeight="1" spans="1:250">
      <c r="A111" s="30"/>
      <c r="B111" s="35" t="s">
        <v>2405</v>
      </c>
      <c r="C111" s="24" t="s">
        <v>2363</v>
      </c>
      <c r="D111" s="58">
        <v>1000</v>
      </c>
      <c r="E111" s="58">
        <v>1000</v>
      </c>
      <c r="F111" s="58">
        <v>1000</v>
      </c>
      <c r="G111" s="58">
        <v>1000</v>
      </c>
      <c r="H111" s="58">
        <v>1000</v>
      </c>
      <c r="I111" s="58"/>
      <c r="J111" s="58"/>
      <c r="K111" s="58"/>
      <c r="L111" s="68"/>
      <c r="M111" s="37"/>
      <c r="N111" s="29"/>
    </row>
    <row r="112" customHeight="1" spans="1:250">
      <c r="A112" s="30"/>
      <c r="B112" s="35" t="s">
        <v>2406</v>
      </c>
      <c r="C112" s="24" t="s">
        <v>2293</v>
      </c>
      <c r="D112" s="130">
        <v>2</v>
      </c>
      <c r="E112" s="130">
        <v>2</v>
      </c>
      <c r="F112" s="130">
        <v>2</v>
      </c>
      <c r="G112" s="130">
        <v>2</v>
      </c>
      <c r="H112" s="130">
        <v>2</v>
      </c>
      <c r="I112" s="130"/>
      <c r="J112" s="130"/>
      <c r="K112" s="130"/>
      <c r="L112" s="68"/>
      <c r="M112" s="37"/>
      <c r="N112" s="29"/>
    </row>
    <row r="113" customHeight="1" spans="1:250">
      <c r="A113" s="24"/>
      <c r="B113" s="35" t="s">
        <v>2407</v>
      </c>
      <c r="C113" s="24" t="s">
        <v>2239</v>
      </c>
      <c r="D113" s="130">
        <f>D70/3600/D112</f>
        <v>4.35643564356436</v>
      </c>
      <c r="E113" s="130">
        <f>E70/3600/E112</f>
        <v>4.35643564356436</v>
      </c>
      <c r="F113" s="130">
        <f>F70/3600/F112</f>
        <v>0</v>
      </c>
      <c r="G113" s="130">
        <f>G70/3600/G112</f>
        <v>0</v>
      </c>
      <c r="H113" s="130">
        <f>H70/3600/H112</f>
        <v>0</v>
      </c>
      <c r="I113" s="130"/>
      <c r="J113" s="130"/>
      <c r="K113" s="130"/>
      <c r="L113" s="68"/>
      <c r="M113" s="37"/>
      <c r="N113" s="29"/>
    </row>
    <row r="114" customHeight="1" spans="1:250">
      <c r="A114" s="30"/>
      <c r="B114" s="35" t="s">
        <v>2408</v>
      </c>
      <c r="C114" s="24" t="s">
        <v>2367</v>
      </c>
      <c r="D114" s="130">
        <f>D113/(D110*D111*10^-6)</f>
        <v>10.8910891089109</v>
      </c>
      <c r="E114" s="130">
        <f>E113/(E110*E111*10^-6)</f>
        <v>10.8910891089109</v>
      </c>
      <c r="F114" s="130">
        <f>F113/(F110*F111*10^-6)</f>
        <v>0</v>
      </c>
      <c r="G114" s="130">
        <f>G113/(G110*G111*10^-6)</f>
        <v>0</v>
      </c>
      <c r="H114" s="130">
        <f>H113/(H110*H111*10^-6)</f>
        <v>0</v>
      </c>
      <c r="I114" s="130"/>
      <c r="J114" s="130"/>
      <c r="K114" s="130"/>
      <c r="L114" s="68"/>
      <c r="M114" s="37"/>
      <c r="N114" s="29"/>
    </row>
    <row r="115" customHeight="1" spans="1:250">
      <c r="A115" s="24"/>
      <c r="B115" s="35" t="s">
        <v>2409</v>
      </c>
      <c r="C115" s="24" t="s">
        <v>2367</v>
      </c>
      <c r="D115" s="130">
        <f>D107/1.2</f>
        <v>20.8333333333333</v>
      </c>
      <c r="E115" s="130">
        <f>E107/1.2</f>
        <v>20.8333333333333</v>
      </c>
      <c r="F115" s="130">
        <f>F107/1.2</f>
        <v>20.8333333333333</v>
      </c>
      <c r="G115" s="130">
        <f>G107/1.2</f>
        <v>20.8333333333333</v>
      </c>
      <c r="H115" s="130">
        <f>H107/1.2</f>
        <v>20.8333333333333</v>
      </c>
      <c r="I115" s="130"/>
      <c r="J115" s="130"/>
      <c r="K115" s="130"/>
      <c r="L115" s="68"/>
      <c r="M115" s="37"/>
      <c r="N115" s="29"/>
    </row>
    <row r="116" customHeight="1" spans="1:250">
      <c r="A116" s="30"/>
      <c r="B116" s="35" t="s">
        <v>2410</v>
      </c>
      <c r="C116" s="24" t="s">
        <v>2367</v>
      </c>
      <c r="D116" s="53">
        <v>36</v>
      </c>
      <c r="E116" s="53">
        <v>36</v>
      </c>
      <c r="F116" s="53">
        <v>36</v>
      </c>
      <c r="G116" s="53">
        <v>36</v>
      </c>
      <c r="H116" s="53">
        <v>36</v>
      </c>
      <c r="I116" s="53"/>
      <c r="J116" s="53"/>
      <c r="K116" s="53"/>
      <c r="L116" s="139"/>
      <c r="M116" s="37"/>
      <c r="N116" s="29"/>
    </row>
    <row r="117" customHeight="1" spans="1:250">
      <c r="A117" s="30"/>
      <c r="B117" s="35" t="s">
        <v>2411</v>
      </c>
      <c r="C117" s="24" t="s">
        <v>2293</v>
      </c>
      <c r="D117" s="130">
        <f>D70/3600/(D116*D110*D111*10^-6)</f>
        <v>0.605060506050605</v>
      </c>
      <c r="E117" s="130">
        <f>E70/3600/(E116*E110*E111*10^-6)</f>
        <v>0.605060506050605</v>
      </c>
      <c r="F117" s="130">
        <f>F70/3600/(F116*F110*F111*10^-6)</f>
        <v>0</v>
      </c>
      <c r="G117" s="130">
        <f>G70/3600/(G116*G110*G111*10^-6)</f>
        <v>0</v>
      </c>
      <c r="H117" s="130">
        <f>H70/3600/(H116*H110*H111*10^-6)</f>
        <v>0</v>
      </c>
      <c r="I117" s="130"/>
      <c r="J117" s="130"/>
      <c r="K117" s="130"/>
      <c r="L117" s="68"/>
      <c r="M117" s="37"/>
      <c r="N117" s="29"/>
    </row>
    <row r="118" s="16" customFormat="1" customHeight="1" spans="1:250">
      <c r="A118" s="142"/>
      <c r="B118" s="143"/>
      <c r="C118" s="144"/>
      <c r="D118" s="144"/>
      <c r="E118" s="144"/>
      <c r="F118" s="144"/>
      <c r="G118" s="144"/>
      <c r="H118" s="144"/>
      <c r="I118" s="144"/>
      <c r="J118" s="144"/>
      <c r="K118" s="144"/>
      <c r="L118" s="145"/>
      <c r="M118" s="145"/>
      <c r="N118" s="146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  <c r="FR118" s="19"/>
      <c r="FS118" s="19"/>
      <c r="FT118" s="19"/>
      <c r="FU118" s="19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9"/>
      <c r="GV118" s="19"/>
      <c r="GW118" s="19"/>
      <c r="GX118" s="19"/>
      <c r="GY118" s="19"/>
      <c r="GZ118" s="19"/>
      <c r="HA118" s="19"/>
      <c r="HB118" s="19"/>
      <c r="HC118" s="19"/>
      <c r="HD118" s="19"/>
      <c r="HE118" s="19"/>
      <c r="HF118" s="19"/>
      <c r="HG118" s="19"/>
      <c r="HH118" s="19"/>
      <c r="HI118" s="19"/>
      <c r="HJ118" s="19"/>
      <c r="HK118" s="19"/>
      <c r="HL118" s="19"/>
      <c r="HM118" s="19"/>
      <c r="HN118" s="19"/>
      <c r="HO118" s="19"/>
      <c r="HP118" s="19"/>
      <c r="HQ118" s="19"/>
      <c r="HR118" s="19"/>
      <c r="HS118" s="19"/>
      <c r="HT118" s="19"/>
      <c r="HU118" s="19"/>
      <c r="HV118" s="19"/>
      <c r="HW118" s="19"/>
      <c r="HX118" s="19"/>
      <c r="HY118" s="19"/>
      <c r="HZ118" s="19"/>
      <c r="IA118" s="11"/>
      <c r="IB118" s="19"/>
      <c r="IC118" s="19"/>
      <c r="ID118" s="19"/>
      <c r="IE118" s="19"/>
      <c r="IF118" s="19"/>
      <c r="IG118" s="19"/>
      <c r="IH118" s="19"/>
      <c r="II118" s="19"/>
      <c r="IJ118" s="19"/>
      <c r="IK118" s="19"/>
      <c r="IL118" s="19"/>
      <c r="IM118" s="19"/>
      <c r="IN118" s="19"/>
      <c r="IO118" s="11"/>
      <c r="IP118" s="11"/>
    </row>
    <row r="119" customHeight="1" spans="1:250">
      <c r="A119" s="30"/>
      <c r="B119" s="35" t="s">
        <v>2412</v>
      </c>
      <c r="C119" s="24" t="s">
        <v>2125</v>
      </c>
      <c r="D119" s="140">
        <v>1.5</v>
      </c>
      <c r="E119" s="140">
        <v>1.5</v>
      </c>
      <c r="F119" s="140">
        <v>1.5</v>
      </c>
      <c r="G119" s="140">
        <v>1.5</v>
      </c>
      <c r="H119" s="140">
        <v>1.5</v>
      </c>
      <c r="I119" s="140"/>
      <c r="J119" s="140"/>
      <c r="K119" s="140"/>
      <c r="L119" s="68"/>
      <c r="M119" s="37"/>
      <c r="N119" s="29"/>
    </row>
    <row r="120" customHeight="1" spans="1:250">
      <c r="A120" s="24"/>
      <c r="B120" s="35" t="s">
        <v>2413</v>
      </c>
      <c r="C120" s="24" t="s">
        <v>2363</v>
      </c>
      <c r="D120" s="53">
        <v>1000</v>
      </c>
      <c r="E120" s="53">
        <v>1000</v>
      </c>
      <c r="F120" s="53">
        <v>1000</v>
      </c>
      <c r="G120" s="53">
        <v>1000</v>
      </c>
      <c r="H120" s="53">
        <v>1000</v>
      </c>
      <c r="I120" s="53"/>
      <c r="J120" s="53"/>
      <c r="K120" s="53"/>
      <c r="L120" s="68"/>
      <c r="M120" s="37"/>
      <c r="N120" s="29"/>
    </row>
    <row r="121" customHeight="1" spans="1:250">
      <c r="A121" s="30"/>
      <c r="B121" s="35" t="s">
        <v>2414</v>
      </c>
      <c r="C121" s="24" t="s">
        <v>2363</v>
      </c>
      <c r="D121" s="53">
        <v>1000</v>
      </c>
      <c r="E121" s="53">
        <v>1000</v>
      </c>
      <c r="F121" s="53">
        <v>1000</v>
      </c>
      <c r="G121" s="53">
        <v>1000</v>
      </c>
      <c r="H121" s="53">
        <v>1000</v>
      </c>
      <c r="I121" s="53"/>
      <c r="J121" s="53"/>
      <c r="K121" s="53"/>
      <c r="L121" s="68"/>
      <c r="M121" s="37"/>
      <c r="N121" s="29"/>
    </row>
    <row r="122" customHeight="1" spans="1:250">
      <c r="A122" s="30"/>
      <c r="B122" s="35" t="s">
        <v>2415</v>
      </c>
      <c r="C122" s="24" t="s">
        <v>2367</v>
      </c>
      <c r="D122" s="147">
        <v>0</v>
      </c>
      <c r="E122" s="147">
        <v>0</v>
      </c>
      <c r="F122" s="147">
        <v>0</v>
      </c>
      <c r="G122" s="147">
        <v>0</v>
      </c>
      <c r="H122" s="147">
        <v>0</v>
      </c>
      <c r="I122" s="147"/>
      <c r="J122" s="147"/>
      <c r="K122" s="147"/>
      <c r="L122" s="68"/>
      <c r="M122" s="37"/>
      <c r="N122" s="29"/>
    </row>
    <row r="123" customHeight="1" spans="1:250">
      <c r="A123" s="24"/>
      <c r="B123" s="35" t="s">
        <v>2416</v>
      </c>
      <c r="C123" s="24" t="s">
        <v>2239</v>
      </c>
      <c r="D123" s="130">
        <f>D119*D107-(D91*D92*10^-6)*D95-(D120*D121*10^-6)*D122</f>
        <v>18.78</v>
      </c>
      <c r="E123" s="130">
        <f>E119*E107-(E91*E92*10^-6)*E95-(E120*E121*10^-6)*E122</f>
        <v>18.78</v>
      </c>
      <c r="F123" s="130">
        <f>F119*F107-(F91*F92*10^-6)*F95-(F120*F121*10^-6)*F122</f>
        <v>18.78</v>
      </c>
      <c r="G123" s="130">
        <f>G119*G107-(G91*G92*10^-6)*G95-(G120*G121*10^-6)*G122</f>
        <v>18.78</v>
      </c>
      <c r="H123" s="130">
        <f>H119*H107-(H91*H92*10^-6)*H95-(H120*H121*10^-6)*H122</f>
        <v>18.78</v>
      </c>
      <c r="I123" s="130"/>
      <c r="J123" s="130"/>
      <c r="K123" s="130"/>
      <c r="L123" s="68"/>
      <c r="M123" s="37"/>
      <c r="N123" s="29"/>
    </row>
    <row r="124" customHeight="1" spans="1:250">
      <c r="A124" s="30"/>
      <c r="B124" s="35" t="s">
        <v>2417</v>
      </c>
      <c r="C124" s="24" t="s">
        <v>2293</v>
      </c>
      <c r="D124" s="130">
        <f>D70/3600/((D91*D92*10^-6)*D95+(D120*D121*10^-6)*D122)</f>
        <v>0.465431158500465</v>
      </c>
      <c r="E124" s="130">
        <f>E70/3600/((E91*E92*10^-6)*E95+(E120*E121*10^-6)*E122)</f>
        <v>0.465431158500465</v>
      </c>
      <c r="F124" s="130">
        <f>F70/3600/((F91*F92*10^-6)*F95+(F120*F121*10^-6)*F122)</f>
        <v>0</v>
      </c>
      <c r="G124" s="130">
        <f>G70/3600/((G91*G92*10^-6)*G95+(G120*G121*10^-6)*G122)</f>
        <v>0</v>
      </c>
      <c r="H124" s="130">
        <f>H70/3600/((H91*H92*10^-6)*H95+(H120*H121*10^-6)*H122)</f>
        <v>0</v>
      </c>
      <c r="I124" s="130"/>
      <c r="J124" s="130"/>
      <c r="K124" s="130"/>
      <c r="L124" s="68"/>
      <c r="M124" s="37"/>
      <c r="N124" s="29"/>
    </row>
    <row r="125" customHeight="1" spans="1:250">
      <c r="B125" s="11"/>
      <c r="C125" s="19"/>
      <c r="D125" s="19"/>
      <c r="E125" s="19"/>
      <c r="F125" s="19"/>
      <c r="G125" s="19"/>
      <c r="H125" s="19"/>
      <c r="I125" s="19"/>
      <c r="J125" s="19"/>
      <c r="K125" s="19"/>
      <c r="M125" s="19"/>
      <c r="N125" s="19"/>
      <c r="IA125" s="19"/>
      <c r="IO125" s="19"/>
      <c r="IP125" s="19"/>
    </row>
    <row r="126" customHeight="1" spans="1:250">
      <c r="B126" s="11"/>
      <c r="C126" s="19"/>
      <c r="D126" s="19"/>
      <c r="E126" s="19"/>
      <c r="F126" s="19"/>
      <c r="G126" s="19"/>
      <c r="H126" s="19"/>
      <c r="I126" s="19"/>
      <c r="J126" s="19"/>
      <c r="K126" s="19"/>
      <c r="M126" s="19"/>
      <c r="N126" s="19"/>
      <c r="IA126" s="19"/>
      <c r="IO126" s="19"/>
      <c r="IP126" s="19"/>
    </row>
    <row r="127" customHeight="1" spans="1:250">
      <c r="B127" s="11"/>
      <c r="C127" s="19"/>
      <c r="D127" s="19"/>
      <c r="E127" s="19"/>
      <c r="F127" s="19"/>
      <c r="G127" s="19"/>
      <c r="H127" s="19"/>
      <c r="I127" s="19"/>
      <c r="J127" s="19"/>
      <c r="K127" s="19"/>
      <c r="M127" s="19"/>
      <c r="N127" s="19"/>
      <c r="IA127" s="19"/>
      <c r="IO127" s="19"/>
      <c r="IP127" s="19"/>
    </row>
    <row r="128" customHeight="1" spans="1:250">
      <c r="B128" s="11"/>
      <c r="C128" s="19"/>
      <c r="D128" s="19"/>
      <c r="E128" s="19"/>
      <c r="F128" s="19"/>
      <c r="G128" s="19"/>
      <c r="H128" s="19"/>
      <c r="I128" s="19"/>
      <c r="J128" s="19"/>
      <c r="K128" s="19"/>
      <c r="M128" s="19"/>
      <c r="N128" s="19"/>
      <c r="IA128" s="19"/>
      <c r="IO128" s="19"/>
      <c r="IP128" s="19"/>
    </row>
    <row r="129" customHeight="1" spans="2:250">
      <c r="B129" s="11"/>
      <c r="C129" s="19"/>
      <c r="D129" s="19"/>
      <c r="E129" s="19"/>
      <c r="F129" s="19"/>
      <c r="G129" s="19"/>
      <c r="H129" s="19"/>
      <c r="I129" s="19"/>
      <c r="J129" s="19"/>
      <c r="K129" s="19"/>
      <c r="M129" s="19"/>
      <c r="N129" s="19"/>
      <c r="IA129" s="19"/>
      <c r="IO129" s="19"/>
      <c r="IP129" s="19"/>
    </row>
    <row r="130" customHeight="1" spans="2:250">
      <c r="B130" s="11"/>
      <c r="C130" s="19"/>
      <c r="D130" s="19"/>
      <c r="E130" s="19"/>
      <c r="F130" s="19"/>
      <c r="G130" s="19"/>
      <c r="H130" s="19"/>
      <c r="I130" s="19"/>
      <c r="J130" s="19"/>
      <c r="K130" s="19"/>
      <c r="M130" s="19"/>
      <c r="N130" s="19"/>
      <c r="IA130" s="19"/>
      <c r="IO130" s="19"/>
      <c r="IP130" s="19"/>
    </row>
    <row r="131" customHeight="1" spans="2:250">
      <c r="B131" s="11"/>
      <c r="C131" s="19"/>
      <c r="D131" s="19"/>
      <c r="E131" s="19"/>
      <c r="F131" s="19"/>
      <c r="G131" s="19"/>
      <c r="H131" s="19"/>
      <c r="I131" s="19"/>
      <c r="J131" s="19"/>
      <c r="K131" s="19"/>
      <c r="M131" s="19"/>
      <c r="N131" s="19"/>
      <c r="IA131" s="19"/>
      <c r="IO131" s="19"/>
      <c r="IP131" s="19"/>
    </row>
    <row r="132" customHeight="1" spans="2:250">
      <c r="B132" s="11"/>
      <c r="C132" s="19"/>
      <c r="D132" s="19"/>
      <c r="E132" s="19"/>
      <c r="F132" s="19"/>
      <c r="G132" s="19"/>
      <c r="H132" s="19"/>
      <c r="I132" s="19"/>
      <c r="J132" s="19"/>
      <c r="K132" s="19"/>
      <c r="M132" s="19"/>
      <c r="N132" s="19"/>
      <c r="IA132" s="19"/>
      <c r="IO132" s="19"/>
      <c r="IP132" s="19"/>
    </row>
    <row r="133" customHeight="1" spans="2:250">
      <c r="B133" s="11"/>
      <c r="C133" s="19"/>
      <c r="D133" s="19"/>
      <c r="E133" s="19"/>
      <c r="F133" s="19"/>
      <c r="G133" s="19"/>
      <c r="H133" s="19"/>
      <c r="I133" s="19"/>
      <c r="J133" s="19"/>
      <c r="K133" s="19"/>
      <c r="M133" s="19"/>
      <c r="N133" s="19"/>
      <c r="IA133" s="19"/>
      <c r="IO133" s="19"/>
      <c r="IP133" s="19"/>
    </row>
    <row r="134" customHeight="1" spans="2:250">
      <c r="B134" s="11"/>
      <c r="C134" s="19"/>
      <c r="D134" s="19"/>
      <c r="E134" s="19"/>
      <c r="F134" s="19"/>
      <c r="G134" s="19"/>
      <c r="H134" s="19"/>
      <c r="I134" s="19"/>
      <c r="J134" s="19"/>
      <c r="K134" s="19"/>
      <c r="M134" s="19"/>
      <c r="N134" s="19"/>
      <c r="IA134" s="19"/>
      <c r="IO134" s="19"/>
      <c r="IP134" s="19"/>
    </row>
    <row r="135" customHeight="1" spans="2:250">
      <c r="B135" s="11"/>
      <c r="C135" s="19"/>
      <c r="D135" s="19"/>
      <c r="E135" s="19"/>
      <c r="F135" s="19"/>
      <c r="G135" s="19"/>
      <c r="H135" s="19"/>
      <c r="I135" s="19"/>
      <c r="J135" s="19"/>
      <c r="K135" s="19"/>
      <c r="M135" s="19"/>
      <c r="N135" s="19"/>
      <c r="IA135" s="19"/>
      <c r="IO135" s="19"/>
      <c r="IP135" s="19"/>
    </row>
    <row r="136" customHeight="1" spans="2:250">
      <c r="B136" s="11"/>
      <c r="C136" s="19"/>
      <c r="D136" s="19"/>
      <c r="E136" s="19"/>
      <c r="F136" s="19"/>
      <c r="G136" s="19"/>
      <c r="H136" s="19"/>
      <c r="I136" s="19"/>
      <c r="J136" s="19"/>
      <c r="K136" s="19"/>
      <c r="M136" s="19"/>
      <c r="N136" s="19"/>
      <c r="IA136" s="19"/>
      <c r="IO136" s="19"/>
      <c r="IP136" s="19"/>
    </row>
    <row r="137" customHeight="1" spans="2:250">
      <c r="B137" s="11"/>
      <c r="C137" s="19"/>
      <c r="D137" s="19"/>
      <c r="E137" s="19"/>
      <c r="F137" s="19"/>
      <c r="G137" s="19"/>
      <c r="H137" s="19"/>
      <c r="I137" s="19"/>
      <c r="J137" s="19"/>
      <c r="K137" s="19"/>
      <c r="M137" s="19"/>
      <c r="N137" s="19"/>
      <c r="IA137" s="19"/>
      <c r="IO137" s="19"/>
      <c r="IP137" s="19"/>
    </row>
    <row r="138" customHeight="1" spans="2:250">
      <c r="B138" s="11"/>
      <c r="C138" s="19"/>
      <c r="D138" s="19"/>
      <c r="E138" s="19"/>
      <c r="F138" s="19"/>
      <c r="G138" s="19"/>
      <c r="H138" s="19"/>
      <c r="I138" s="19"/>
      <c r="J138" s="19"/>
      <c r="K138" s="19"/>
      <c r="M138" s="19"/>
      <c r="N138" s="19"/>
      <c r="IA138" s="19"/>
      <c r="IO138" s="19"/>
      <c r="IP138" s="19"/>
    </row>
    <row r="139" customHeight="1" spans="2:250">
      <c r="B139" s="11"/>
      <c r="C139" s="19"/>
      <c r="D139" s="19"/>
      <c r="E139" s="19"/>
      <c r="F139" s="19"/>
      <c r="G139" s="19"/>
      <c r="H139" s="19"/>
      <c r="I139" s="19"/>
      <c r="J139" s="19"/>
      <c r="K139" s="19"/>
      <c r="M139" s="19"/>
      <c r="N139" s="19"/>
      <c r="IA139" s="19"/>
      <c r="IO139" s="19"/>
      <c r="IP139" s="19"/>
    </row>
    <row r="140" customHeight="1" spans="2:250">
      <c r="B140" s="11"/>
      <c r="C140" s="19"/>
      <c r="D140" s="19"/>
      <c r="E140" s="19"/>
      <c r="F140" s="19"/>
      <c r="G140" s="19"/>
      <c r="H140" s="19"/>
      <c r="I140" s="19"/>
      <c r="J140" s="19"/>
      <c r="K140" s="19"/>
      <c r="M140" s="19"/>
      <c r="N140" s="19"/>
      <c r="IA140" s="19"/>
      <c r="IO140" s="19"/>
      <c r="IP140" s="19"/>
    </row>
    <row r="141" customHeight="1" spans="2:250">
      <c r="B141" s="11"/>
      <c r="C141" s="19"/>
      <c r="D141" s="19"/>
      <c r="E141" s="19"/>
      <c r="F141" s="19"/>
      <c r="G141" s="19"/>
      <c r="H141" s="19"/>
      <c r="I141" s="19"/>
      <c r="J141" s="19"/>
      <c r="K141" s="19"/>
      <c r="M141" s="19"/>
      <c r="N141" s="19"/>
      <c r="IA141" s="19"/>
      <c r="IO141" s="19"/>
      <c r="IP141" s="19"/>
    </row>
    <row r="142" customHeight="1" spans="2:250">
      <c r="B142" s="11"/>
      <c r="C142" s="19"/>
      <c r="D142" s="19"/>
      <c r="E142" s="19"/>
      <c r="F142" s="19"/>
      <c r="G142" s="19"/>
      <c r="H142" s="19"/>
      <c r="I142" s="19"/>
      <c r="J142" s="19"/>
      <c r="K142" s="19"/>
      <c r="M142" s="19"/>
      <c r="N142" s="19"/>
      <c r="IA142" s="19"/>
      <c r="IO142" s="19"/>
      <c r="IP142" s="19"/>
    </row>
    <row r="143" customHeight="1" spans="2:250">
      <c r="B143" s="11"/>
      <c r="C143" s="19"/>
      <c r="D143" s="19"/>
      <c r="E143" s="19"/>
      <c r="F143" s="19"/>
      <c r="G143" s="19"/>
      <c r="H143" s="19"/>
      <c r="I143" s="19"/>
      <c r="J143" s="19"/>
      <c r="K143" s="19"/>
      <c r="M143" s="19"/>
      <c r="N143" s="19"/>
      <c r="IA143" s="19"/>
      <c r="IO143" s="19"/>
      <c r="IP143" s="19"/>
    </row>
    <row r="144" customHeight="1" spans="2:250">
      <c r="B144" s="11"/>
      <c r="C144" s="19"/>
      <c r="D144" s="19"/>
      <c r="E144" s="19"/>
      <c r="F144" s="19"/>
      <c r="G144" s="19"/>
      <c r="H144" s="19"/>
      <c r="I144" s="19"/>
      <c r="J144" s="19"/>
      <c r="K144" s="19"/>
      <c r="M144" s="19"/>
      <c r="N144" s="19"/>
      <c r="IA144" s="19"/>
      <c r="IO144" s="19"/>
      <c r="IP144" s="19"/>
    </row>
    <row r="145" customHeight="1" spans="2:250">
      <c r="B145" s="11"/>
      <c r="C145" s="19"/>
      <c r="D145" s="19"/>
      <c r="E145" s="19"/>
      <c r="F145" s="19"/>
      <c r="G145" s="19"/>
      <c r="H145" s="19"/>
      <c r="I145" s="19"/>
      <c r="J145" s="19"/>
      <c r="K145" s="19"/>
      <c r="M145" s="19"/>
      <c r="N145" s="19"/>
      <c r="IA145" s="19"/>
      <c r="IO145" s="19"/>
      <c r="IP145" s="19"/>
    </row>
    <row r="146" customHeight="1" spans="2:250">
      <c r="B146" s="11"/>
      <c r="C146" s="19"/>
      <c r="D146" s="19"/>
      <c r="E146" s="19"/>
      <c r="F146" s="19"/>
      <c r="G146" s="19"/>
      <c r="H146" s="19"/>
      <c r="I146" s="19"/>
      <c r="J146" s="19"/>
      <c r="K146" s="19"/>
      <c r="M146" s="19"/>
      <c r="N146" s="19"/>
      <c r="IA146" s="19"/>
      <c r="IO146" s="19"/>
      <c r="IP146" s="19"/>
    </row>
    <row r="147" customHeight="1" spans="2:250">
      <c r="B147" s="11"/>
      <c r="C147" s="19"/>
      <c r="D147" s="19"/>
      <c r="E147" s="19"/>
      <c r="F147" s="19"/>
      <c r="G147" s="19"/>
      <c r="H147" s="19"/>
      <c r="I147" s="19"/>
      <c r="J147" s="19"/>
      <c r="K147" s="19"/>
      <c r="M147" s="19"/>
      <c r="N147" s="19"/>
      <c r="IA147" s="19"/>
      <c r="IO147" s="19"/>
      <c r="IP147" s="19"/>
    </row>
    <row r="148" customHeight="1" spans="2:250">
      <c r="B148" s="11"/>
      <c r="C148" s="19"/>
      <c r="D148" s="19"/>
      <c r="E148" s="19"/>
      <c r="F148" s="19"/>
      <c r="G148" s="19"/>
      <c r="H148" s="19"/>
      <c r="I148" s="19"/>
      <c r="J148" s="19"/>
      <c r="K148" s="19"/>
      <c r="M148" s="19"/>
      <c r="N148" s="19"/>
      <c r="IA148" s="19"/>
      <c r="IO148" s="19"/>
      <c r="IP148" s="19"/>
    </row>
    <row r="149" customHeight="1" spans="2:250">
      <c r="B149" s="11"/>
      <c r="C149" s="19"/>
      <c r="D149" s="19"/>
      <c r="E149" s="19"/>
      <c r="F149" s="19"/>
      <c r="G149" s="19"/>
      <c r="H149" s="19"/>
      <c r="I149" s="19"/>
      <c r="J149" s="19"/>
      <c r="K149" s="19"/>
      <c r="M149" s="19"/>
      <c r="N149" s="19"/>
      <c r="IA149" s="19"/>
      <c r="IO149" s="19"/>
      <c r="IP149" s="19"/>
    </row>
    <row r="150" customHeight="1" spans="2:250">
      <c r="B150" s="11"/>
      <c r="C150" s="19"/>
      <c r="D150" s="19"/>
      <c r="E150" s="19"/>
      <c r="F150" s="19"/>
      <c r="G150" s="19"/>
      <c r="H150" s="19"/>
      <c r="I150" s="19"/>
      <c r="J150" s="19"/>
      <c r="K150" s="19"/>
      <c r="M150" s="19"/>
      <c r="N150" s="19"/>
      <c r="IA150" s="19"/>
      <c r="IO150" s="19"/>
      <c r="IP150" s="19"/>
    </row>
    <row r="151" customHeight="1" spans="2:250">
      <c r="B151" s="11"/>
      <c r="C151" s="19"/>
      <c r="D151" s="19"/>
      <c r="E151" s="19"/>
      <c r="F151" s="19"/>
      <c r="G151" s="19"/>
      <c r="H151" s="19"/>
      <c r="I151" s="19"/>
      <c r="J151" s="19"/>
      <c r="K151" s="19"/>
      <c r="M151" s="19"/>
      <c r="N151" s="19"/>
      <c r="IA151" s="19"/>
      <c r="IO151" s="19"/>
      <c r="IP151" s="19"/>
    </row>
    <row r="152" customHeight="1" spans="2:250">
      <c r="B152" s="11"/>
      <c r="C152" s="19"/>
      <c r="D152" s="19"/>
      <c r="E152" s="19"/>
      <c r="F152" s="19"/>
      <c r="G152" s="19"/>
      <c r="H152" s="19"/>
      <c r="I152" s="19"/>
      <c r="J152" s="19"/>
      <c r="K152" s="19"/>
      <c r="M152" s="19"/>
      <c r="N152" s="19"/>
      <c r="IA152" s="19"/>
      <c r="IO152" s="19"/>
      <c r="IP152" s="19"/>
    </row>
    <row r="153" customHeight="1" spans="2:250">
      <c r="B153" s="11"/>
      <c r="C153" s="19"/>
      <c r="D153" s="19"/>
      <c r="E153" s="19"/>
      <c r="F153" s="19"/>
      <c r="G153" s="19"/>
      <c r="H153" s="19"/>
      <c r="I153" s="19"/>
      <c r="J153" s="19"/>
      <c r="K153" s="19"/>
      <c r="M153" s="19"/>
      <c r="N153" s="19"/>
      <c r="IA153" s="19"/>
      <c r="IO153" s="19"/>
      <c r="IP153" s="19"/>
    </row>
    <row r="154" customHeight="1" spans="2:250">
      <c r="B154" s="11"/>
      <c r="C154" s="19"/>
      <c r="D154" s="19"/>
      <c r="E154" s="19"/>
      <c r="F154" s="19"/>
      <c r="G154" s="19"/>
      <c r="H154" s="19"/>
      <c r="I154" s="19"/>
      <c r="J154" s="19"/>
      <c r="K154" s="19"/>
      <c r="M154" s="19"/>
      <c r="N154" s="19"/>
      <c r="IA154" s="19"/>
      <c r="IO154" s="19"/>
      <c r="IP154" s="19"/>
    </row>
    <row r="155" customHeight="1" spans="2:250">
      <c r="B155" s="11"/>
      <c r="C155" s="19"/>
      <c r="D155" s="19"/>
      <c r="E155" s="19"/>
      <c r="F155" s="19"/>
      <c r="G155" s="19"/>
      <c r="H155" s="19"/>
      <c r="I155" s="19"/>
      <c r="J155" s="19"/>
      <c r="K155" s="19"/>
      <c r="M155" s="19"/>
      <c r="N155" s="19"/>
      <c r="IA155" s="19"/>
      <c r="IO155" s="19"/>
      <c r="IP155" s="19"/>
    </row>
    <row r="156" customHeight="1" spans="2:250">
      <c r="B156" s="11"/>
      <c r="C156" s="19"/>
      <c r="D156" s="19"/>
      <c r="E156" s="19"/>
      <c r="F156" s="19"/>
      <c r="G156" s="19"/>
      <c r="H156" s="19"/>
      <c r="I156" s="19"/>
      <c r="J156" s="19"/>
      <c r="K156" s="19"/>
      <c r="M156" s="19"/>
      <c r="N156" s="19"/>
      <c r="IA156" s="19"/>
      <c r="IO156" s="19"/>
      <c r="IP156" s="19"/>
    </row>
    <row r="157" customHeight="1" spans="2:250">
      <c r="B157" s="11"/>
      <c r="C157" s="19"/>
      <c r="D157" s="19"/>
      <c r="E157" s="19"/>
      <c r="F157" s="19"/>
      <c r="G157" s="19"/>
      <c r="H157" s="19"/>
      <c r="I157" s="19"/>
      <c r="J157" s="19"/>
      <c r="K157" s="19"/>
      <c r="M157" s="19"/>
      <c r="N157" s="19"/>
      <c r="IA157" s="19"/>
      <c r="IO157" s="19"/>
      <c r="IP157" s="19"/>
    </row>
    <row r="158" customHeight="1" spans="2:250">
      <c r="B158" s="11"/>
      <c r="C158" s="19"/>
      <c r="D158" s="19"/>
      <c r="E158" s="19"/>
      <c r="F158" s="19"/>
      <c r="G158" s="19"/>
      <c r="H158" s="19"/>
      <c r="I158" s="19"/>
      <c r="J158" s="19"/>
      <c r="K158" s="19"/>
      <c r="M158" s="19"/>
      <c r="N158" s="19"/>
      <c r="IA158" s="19"/>
      <c r="IO158" s="19"/>
      <c r="IP158" s="19"/>
    </row>
    <row r="159" customHeight="1" spans="2:250">
      <c r="B159" s="11"/>
      <c r="C159" s="19"/>
      <c r="D159" s="19"/>
      <c r="E159" s="19"/>
      <c r="F159" s="19"/>
      <c r="G159" s="19"/>
      <c r="H159" s="19"/>
      <c r="I159" s="19"/>
      <c r="J159" s="19"/>
      <c r="K159" s="19"/>
      <c r="M159" s="19"/>
      <c r="N159" s="19"/>
      <c r="IA159" s="19"/>
      <c r="IO159" s="19"/>
      <c r="IP159" s="19"/>
    </row>
    <row r="160" customHeight="1" spans="2:250">
      <c r="B160" s="11"/>
      <c r="C160" s="19"/>
      <c r="D160" s="19"/>
      <c r="E160" s="19"/>
      <c r="F160" s="19"/>
      <c r="G160" s="19"/>
      <c r="H160" s="19"/>
      <c r="I160" s="19"/>
      <c r="J160" s="19"/>
      <c r="K160" s="19"/>
      <c r="M160" s="19"/>
      <c r="N160" s="19"/>
      <c r="IA160" s="19"/>
      <c r="IO160" s="19"/>
      <c r="IP160" s="19"/>
    </row>
    <row r="161" customHeight="1" spans="2:250">
      <c r="B161" s="11"/>
      <c r="C161" s="19"/>
      <c r="D161" s="19"/>
      <c r="E161" s="19"/>
      <c r="F161" s="19"/>
      <c r="G161" s="19"/>
      <c r="H161" s="19"/>
      <c r="I161" s="19"/>
      <c r="J161" s="19"/>
      <c r="K161" s="19"/>
      <c r="M161" s="19"/>
      <c r="N161" s="19"/>
      <c r="IA161" s="19"/>
      <c r="IO161" s="19"/>
      <c r="IP161" s="19"/>
    </row>
    <row r="162" customHeight="1" spans="2:250">
      <c r="B162" s="11"/>
      <c r="C162" s="19"/>
      <c r="D162" s="19"/>
      <c r="E162" s="19"/>
      <c r="F162" s="19"/>
      <c r="G162" s="19"/>
      <c r="H162" s="19"/>
      <c r="I162" s="19"/>
      <c r="J162" s="19"/>
      <c r="K162" s="19"/>
      <c r="M162" s="19"/>
      <c r="N162" s="19"/>
      <c r="IA162" s="19"/>
      <c r="IO162" s="19"/>
      <c r="IP162" s="19"/>
    </row>
    <row r="163" customHeight="1" spans="2:250">
      <c r="B163" s="11"/>
      <c r="C163" s="19"/>
      <c r="D163" s="19"/>
      <c r="E163" s="19"/>
      <c r="F163" s="19"/>
      <c r="G163" s="19"/>
      <c r="H163" s="19"/>
      <c r="I163" s="19"/>
      <c r="J163" s="19"/>
      <c r="K163" s="19"/>
      <c r="M163" s="19"/>
      <c r="N163" s="19"/>
      <c r="IA163" s="19"/>
      <c r="IO163" s="19"/>
      <c r="IP163" s="19"/>
    </row>
    <row r="164" customHeight="1" spans="2:250">
      <c r="B164" s="11"/>
      <c r="C164" s="19"/>
      <c r="D164" s="19"/>
      <c r="E164" s="19"/>
      <c r="F164" s="19"/>
      <c r="G164" s="19"/>
      <c r="H164" s="19"/>
      <c r="I164" s="19"/>
      <c r="J164" s="19"/>
      <c r="K164" s="19"/>
      <c r="M164" s="19"/>
      <c r="N164" s="19"/>
      <c r="IA164" s="19"/>
      <c r="IO164" s="19"/>
      <c r="IP164" s="19"/>
    </row>
    <row r="165" customHeight="1" spans="2:250">
      <c r="B165" s="11"/>
      <c r="C165" s="19"/>
      <c r="D165" s="19"/>
      <c r="E165" s="19"/>
      <c r="F165" s="19"/>
      <c r="G165" s="19"/>
      <c r="H165" s="19"/>
      <c r="I165" s="19"/>
      <c r="J165" s="19"/>
      <c r="K165" s="19"/>
      <c r="M165" s="19"/>
      <c r="N165" s="19"/>
      <c r="IA165" s="19"/>
      <c r="IO165" s="19"/>
      <c r="IP165" s="19"/>
    </row>
    <row r="166" customHeight="1" spans="2:250">
      <c r="B166" s="11"/>
      <c r="C166" s="19"/>
      <c r="D166" s="19"/>
      <c r="E166" s="19"/>
      <c r="F166" s="19"/>
      <c r="G166" s="19"/>
      <c r="H166" s="19"/>
      <c r="I166" s="19"/>
      <c r="J166" s="19"/>
      <c r="K166" s="19"/>
      <c r="M166" s="19"/>
      <c r="N166" s="19"/>
      <c r="IA166" s="19"/>
      <c r="IO166" s="19"/>
      <c r="IP166" s="19"/>
    </row>
    <row r="167" customHeight="1" spans="2:250">
      <c r="B167" s="11"/>
      <c r="C167" s="19"/>
      <c r="D167" s="19"/>
      <c r="E167" s="19"/>
      <c r="F167" s="19"/>
      <c r="G167" s="19"/>
      <c r="H167" s="19"/>
      <c r="I167" s="19"/>
      <c r="J167" s="19"/>
      <c r="K167" s="19"/>
      <c r="M167" s="19"/>
      <c r="N167" s="19"/>
      <c r="IA167" s="19"/>
      <c r="IO167" s="19"/>
      <c r="IP167" s="19"/>
    </row>
    <row r="168" customHeight="1" spans="2:250">
      <c r="B168" s="11"/>
      <c r="C168" s="19"/>
      <c r="D168" s="19"/>
      <c r="E168" s="19"/>
      <c r="F168" s="19"/>
      <c r="G168" s="19"/>
      <c r="H168" s="19"/>
      <c r="I168" s="19"/>
      <c r="J168" s="19"/>
      <c r="K168" s="19"/>
      <c r="M168" s="19"/>
      <c r="N168" s="19"/>
      <c r="IA168" s="19"/>
      <c r="IO168" s="19"/>
      <c r="IP168" s="19"/>
    </row>
    <row r="169" customHeight="1" spans="2:250">
      <c r="B169" s="11"/>
      <c r="C169" s="19"/>
      <c r="D169" s="19"/>
      <c r="E169" s="19"/>
      <c r="F169" s="19"/>
      <c r="G169" s="19"/>
      <c r="H169" s="19"/>
      <c r="I169" s="19"/>
      <c r="J169" s="19"/>
      <c r="K169" s="19"/>
      <c r="M169" s="19"/>
      <c r="N169" s="19"/>
      <c r="IA169" s="19"/>
      <c r="IO169" s="19"/>
      <c r="IP169" s="19"/>
    </row>
    <row r="170" customHeight="1" spans="2:250">
      <c r="B170" s="11"/>
      <c r="C170" s="19"/>
      <c r="D170" s="19"/>
      <c r="E170" s="19"/>
      <c r="F170" s="19"/>
      <c r="G170" s="19"/>
      <c r="H170" s="19"/>
      <c r="I170" s="19"/>
      <c r="J170" s="19"/>
      <c r="K170" s="19"/>
      <c r="M170" s="19"/>
      <c r="N170" s="19"/>
      <c r="IA170" s="19"/>
      <c r="IO170" s="19"/>
      <c r="IP170" s="19"/>
    </row>
    <row r="171" customHeight="1" spans="2:250">
      <c r="B171" s="11"/>
      <c r="C171" s="19"/>
      <c r="D171" s="19"/>
      <c r="E171" s="19"/>
      <c r="F171" s="19"/>
      <c r="G171" s="19"/>
      <c r="H171" s="19"/>
      <c r="I171" s="19"/>
      <c r="J171" s="19"/>
      <c r="K171" s="19"/>
      <c r="M171" s="19"/>
      <c r="N171" s="19"/>
      <c r="IA171" s="19"/>
      <c r="IO171" s="19"/>
      <c r="IP171" s="19"/>
    </row>
    <row r="172" customHeight="1" spans="2:250">
      <c r="B172" s="11"/>
      <c r="C172" s="19"/>
      <c r="D172" s="19"/>
      <c r="E172" s="19"/>
      <c r="F172" s="19"/>
      <c r="G172" s="19"/>
      <c r="H172" s="19"/>
      <c r="I172" s="19"/>
      <c r="J172" s="19"/>
      <c r="K172" s="19"/>
      <c r="M172" s="19"/>
      <c r="N172" s="19"/>
      <c r="IA172" s="19"/>
      <c r="IO172" s="19"/>
      <c r="IP172" s="19"/>
    </row>
    <row r="173" customHeight="1" spans="2:250">
      <c r="B173" s="11"/>
      <c r="C173" s="19"/>
      <c r="D173" s="19"/>
      <c r="E173" s="19"/>
      <c r="F173" s="19"/>
      <c r="G173" s="19"/>
      <c r="H173" s="19"/>
      <c r="I173" s="19"/>
      <c r="J173" s="19"/>
      <c r="K173" s="19"/>
      <c r="M173" s="19"/>
      <c r="N173" s="19"/>
      <c r="IA173" s="19"/>
      <c r="IO173" s="19"/>
      <c r="IP173" s="19"/>
    </row>
    <row r="174" customHeight="1" spans="2:250">
      <c r="B174" s="11"/>
      <c r="C174" s="19"/>
      <c r="D174" s="19"/>
      <c r="E174" s="19"/>
      <c r="F174" s="19"/>
      <c r="G174" s="19"/>
      <c r="H174" s="19"/>
      <c r="I174" s="19"/>
      <c r="J174" s="19"/>
      <c r="K174" s="19"/>
      <c r="M174" s="19"/>
      <c r="N174" s="19"/>
      <c r="IA174" s="19"/>
      <c r="IO174" s="19"/>
      <c r="IP174" s="19"/>
    </row>
    <row r="175" customHeight="1" spans="2:250">
      <c r="B175" s="11"/>
      <c r="C175" s="19"/>
      <c r="D175" s="19"/>
      <c r="E175" s="19"/>
      <c r="F175" s="19"/>
      <c r="G175" s="19"/>
      <c r="H175" s="19"/>
      <c r="I175" s="19"/>
      <c r="J175" s="19"/>
      <c r="K175" s="19"/>
      <c r="M175" s="19"/>
      <c r="N175" s="19"/>
      <c r="IA175" s="19"/>
      <c r="IO175" s="19"/>
      <c r="IP175" s="19"/>
    </row>
    <row r="176" customHeight="1" spans="2:250">
      <c r="B176" s="11"/>
      <c r="C176" s="19"/>
      <c r="D176" s="19"/>
      <c r="E176" s="19"/>
      <c r="F176" s="19"/>
      <c r="G176" s="19"/>
      <c r="H176" s="19"/>
      <c r="I176" s="19"/>
      <c r="J176" s="19"/>
      <c r="K176" s="19"/>
      <c r="M176" s="19"/>
      <c r="N176" s="19"/>
      <c r="IA176" s="19"/>
      <c r="IO176" s="19"/>
      <c r="IP176" s="19"/>
    </row>
    <row r="177" customHeight="1" spans="1:250">
      <c r="B177" s="11"/>
      <c r="C177" s="19"/>
      <c r="D177" s="19"/>
      <c r="E177" s="19"/>
      <c r="F177" s="19"/>
      <c r="G177" s="19"/>
      <c r="H177" s="19"/>
      <c r="I177" s="19"/>
      <c r="J177" s="19"/>
      <c r="K177" s="19"/>
      <c r="M177" s="19"/>
      <c r="N177" s="19"/>
      <c r="IA177" s="19"/>
      <c r="IO177" s="19"/>
      <c r="IP177" s="19"/>
    </row>
    <row r="178" customHeight="1" spans="1:250">
      <c r="B178" s="11"/>
      <c r="C178" s="19"/>
      <c r="D178" s="19"/>
      <c r="E178" s="19"/>
      <c r="F178" s="19"/>
      <c r="G178" s="19"/>
      <c r="H178" s="19"/>
      <c r="I178" s="19"/>
      <c r="J178" s="19"/>
      <c r="K178" s="19"/>
      <c r="M178" s="19"/>
      <c r="N178" s="19"/>
      <c r="IA178" s="19"/>
      <c r="IO178" s="19"/>
      <c r="IP178" s="19"/>
    </row>
    <row r="179" customHeight="1" spans="1:250">
      <c r="B179" s="11"/>
      <c r="C179" s="19"/>
      <c r="D179" s="19"/>
      <c r="E179" s="19"/>
      <c r="F179" s="19"/>
      <c r="G179" s="19"/>
      <c r="H179" s="19"/>
      <c r="I179" s="19"/>
      <c r="J179" s="19"/>
      <c r="K179" s="19"/>
      <c r="M179" s="19"/>
      <c r="N179" s="19"/>
      <c r="IA179" s="19"/>
      <c r="IO179" s="19"/>
      <c r="IP179" s="19"/>
    </row>
    <row r="180" customHeight="1" spans="1:250">
      <c r="B180" s="11"/>
      <c r="C180" s="19"/>
      <c r="D180" s="19"/>
      <c r="E180" s="19"/>
      <c r="F180" s="19"/>
      <c r="G180" s="19"/>
      <c r="H180" s="19"/>
      <c r="I180" s="19"/>
      <c r="J180" s="19"/>
      <c r="K180" s="19"/>
      <c r="M180" s="19"/>
      <c r="N180" s="19"/>
      <c r="IA180" s="19"/>
      <c r="IO180" s="19"/>
      <c r="IP180" s="19"/>
    </row>
    <row r="181" customHeight="1" spans="1:250">
      <c r="B181" s="11"/>
      <c r="C181" s="19"/>
      <c r="D181" s="19"/>
      <c r="E181" s="19"/>
      <c r="F181" s="19"/>
      <c r="G181" s="19"/>
      <c r="H181" s="19"/>
      <c r="I181" s="19"/>
      <c r="J181" s="19"/>
      <c r="K181" s="19"/>
      <c r="M181" s="19"/>
      <c r="N181" s="19"/>
      <c r="IA181" s="19"/>
      <c r="IO181" s="19"/>
      <c r="IP181" s="19"/>
    </row>
    <row r="182" customHeight="1" spans="1:250">
      <c r="B182" s="11"/>
      <c r="C182" s="19"/>
      <c r="D182" s="19"/>
      <c r="E182" s="19"/>
      <c r="F182" s="19"/>
      <c r="G182" s="19"/>
      <c r="H182" s="19"/>
      <c r="I182" s="19"/>
      <c r="J182" s="19"/>
      <c r="K182" s="19"/>
      <c r="M182" s="19"/>
      <c r="N182" s="19"/>
      <c r="IA182" s="19"/>
      <c r="IO182" s="19"/>
      <c r="IP182" s="19"/>
    </row>
    <row r="183" customHeight="1" spans="1:250">
      <c r="B183" s="11"/>
      <c r="C183" s="19"/>
      <c r="D183" s="19"/>
      <c r="E183" s="19"/>
      <c r="F183" s="19"/>
      <c r="G183" s="19"/>
      <c r="H183" s="19"/>
      <c r="I183" s="19"/>
      <c r="J183" s="19"/>
      <c r="K183" s="19"/>
      <c r="M183" s="19"/>
      <c r="N183" s="19"/>
      <c r="IA183" s="19"/>
      <c r="IO183" s="19"/>
      <c r="IP183" s="19"/>
    </row>
    <row r="184" customHeight="1" spans="1:250">
      <c r="B184" s="11"/>
      <c r="C184" s="19"/>
      <c r="D184" s="19"/>
      <c r="E184" s="19"/>
      <c r="F184" s="19"/>
      <c r="G184" s="19"/>
      <c r="H184" s="19"/>
      <c r="I184" s="19"/>
      <c r="J184" s="19"/>
      <c r="K184" s="19"/>
      <c r="M184" s="19"/>
      <c r="N184" s="19"/>
      <c r="IA184" s="19"/>
      <c r="IO184" s="19"/>
      <c r="IP184" s="19"/>
    </row>
    <row r="185" customHeight="1" spans="1:250">
      <c r="B185" s="11"/>
      <c r="C185" s="19"/>
      <c r="D185" s="19"/>
      <c r="E185" s="19"/>
      <c r="F185" s="19"/>
      <c r="G185" s="19"/>
      <c r="H185" s="19"/>
      <c r="I185" s="19"/>
      <c r="J185" s="19"/>
      <c r="K185" s="19"/>
      <c r="M185" s="19"/>
      <c r="N185" s="19"/>
      <c r="IA185" s="19"/>
      <c r="IO185" s="19"/>
      <c r="IP185" s="19"/>
    </row>
    <row r="186" customHeight="1" spans="1:250">
      <c r="B186" s="11"/>
      <c r="C186" s="19"/>
      <c r="D186" s="19"/>
      <c r="E186" s="19"/>
      <c r="F186" s="19"/>
      <c r="G186" s="19"/>
      <c r="H186" s="19"/>
      <c r="I186" s="19"/>
      <c r="J186" s="19"/>
      <c r="K186" s="19"/>
      <c r="M186" s="19"/>
      <c r="N186" s="19"/>
      <c r="IA186" s="19"/>
      <c r="IO186" s="19"/>
      <c r="IP186" s="19"/>
    </row>
    <row r="187" customHeight="1" spans="1:250">
      <c r="B187" s="11"/>
      <c r="C187" s="19"/>
      <c r="D187" s="19"/>
      <c r="E187" s="19"/>
      <c r="F187" s="19"/>
      <c r="G187" s="19"/>
      <c r="H187" s="19"/>
      <c r="I187" s="19"/>
      <c r="J187" s="19"/>
      <c r="K187" s="19"/>
      <c r="M187" s="19"/>
      <c r="N187" s="19"/>
      <c r="IA187" s="19"/>
      <c r="IO187" s="19"/>
      <c r="IP187" s="19"/>
    </row>
    <row r="188" customHeight="1" spans="1:250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M188" s="19"/>
      <c r="N188" s="19"/>
      <c r="IA188" s="19"/>
      <c r="IO188" s="19"/>
      <c r="IP188" s="19"/>
    </row>
    <row r="189" customHeight="1" spans="1:250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M189" s="19"/>
      <c r="N189" s="19"/>
      <c r="IA189" s="19"/>
      <c r="IO189" s="19"/>
      <c r="IP189" s="19"/>
    </row>
    <row r="190" customHeight="1" spans="1:25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M190" s="19"/>
      <c r="N190" s="19"/>
      <c r="IA190" s="19"/>
      <c r="IO190" s="19"/>
      <c r="IP190" s="19"/>
    </row>
    <row r="191" customHeight="1" spans="1:250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M191" s="19"/>
      <c r="N191" s="19"/>
      <c r="IA191" s="19"/>
      <c r="IO191" s="19"/>
      <c r="IP191" s="19"/>
    </row>
    <row r="192" customHeight="1" spans="1:250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M192" s="19"/>
      <c r="N192" s="19"/>
      <c r="IA192" s="19"/>
      <c r="IO192" s="19"/>
      <c r="IP192" s="19"/>
    </row>
    <row r="193" customHeight="1" spans="1:250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M193" s="19"/>
      <c r="N193" s="19"/>
      <c r="IA193" s="19"/>
      <c r="IO193" s="19"/>
      <c r="IP193" s="19"/>
    </row>
    <row r="194" customHeight="1" spans="1:250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M194" s="19"/>
      <c r="N194" s="19"/>
      <c r="IA194" s="19"/>
      <c r="IO194" s="19"/>
      <c r="IP194" s="19"/>
    </row>
    <row r="195" customHeight="1" spans="1:250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M195" s="19"/>
      <c r="N195" s="19"/>
      <c r="IA195" s="19"/>
      <c r="IO195" s="19"/>
      <c r="IP195" s="19"/>
    </row>
    <row r="196" customHeight="1" spans="1:250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M196" s="19"/>
      <c r="N196" s="19"/>
      <c r="IA196" s="19"/>
      <c r="IO196" s="19"/>
      <c r="IP196" s="19"/>
    </row>
    <row r="197" customHeight="1" spans="1:250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M197" s="19"/>
      <c r="N197" s="19"/>
      <c r="IA197" s="19"/>
      <c r="IO197" s="19"/>
      <c r="IP197" s="19"/>
    </row>
    <row r="198" customHeight="1" spans="1:250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M198" s="19"/>
      <c r="N198" s="19"/>
      <c r="IA198" s="19"/>
      <c r="IO198" s="19"/>
      <c r="IP198" s="19"/>
    </row>
    <row r="199" customHeight="1" spans="1:250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M199" s="19"/>
      <c r="N199" s="19"/>
      <c r="IA199" s="19"/>
      <c r="IO199" s="19"/>
      <c r="IP199" s="19"/>
    </row>
    <row r="200" customHeight="1" spans="1:25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M200" s="19"/>
      <c r="N200" s="19"/>
      <c r="IA200" s="19"/>
      <c r="IO200" s="19"/>
      <c r="IP200" s="19"/>
    </row>
    <row r="201" customHeight="1" spans="1:250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M201" s="19"/>
      <c r="N201" s="19"/>
      <c r="IA201" s="19"/>
      <c r="IO201" s="19"/>
      <c r="IP201" s="19"/>
    </row>
    <row r="202" customHeight="1" spans="1:250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M202" s="19"/>
      <c r="N202" s="19"/>
      <c r="IA202" s="19"/>
      <c r="IO202" s="19"/>
      <c r="IP202" s="19"/>
    </row>
    <row r="203" customHeight="1" spans="1:250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M203" s="19"/>
      <c r="N203" s="19"/>
      <c r="IA203" s="19"/>
      <c r="IO203" s="19"/>
      <c r="IP203" s="19"/>
    </row>
    <row r="204" customHeight="1" spans="1:250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M204" s="19"/>
      <c r="N204" s="19"/>
      <c r="IA204" s="19"/>
      <c r="IO204" s="19"/>
      <c r="IP204" s="19"/>
    </row>
    <row r="205" customHeight="1" spans="1:250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M205" s="19"/>
      <c r="N205" s="19"/>
      <c r="IA205" s="19"/>
      <c r="IO205" s="19"/>
      <c r="IP205" s="19"/>
    </row>
    <row r="206" customHeight="1" spans="1:250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M206" s="19"/>
      <c r="N206" s="19"/>
      <c r="IA206" s="19"/>
      <c r="IO206" s="19"/>
      <c r="IP206" s="19"/>
    </row>
    <row r="207" customHeight="1" spans="1:250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M207" s="19"/>
      <c r="N207" s="19"/>
      <c r="IA207" s="19"/>
      <c r="IO207" s="19"/>
      <c r="IP207" s="19"/>
    </row>
    <row r="208" customHeight="1" spans="1:250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M208" s="19"/>
      <c r="N208" s="19"/>
      <c r="IA208" s="19"/>
      <c r="IO208" s="19"/>
      <c r="IP208" s="19"/>
    </row>
    <row r="209" customHeight="1" spans="1:250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M209" s="19"/>
      <c r="N209" s="19"/>
      <c r="IA209" s="19"/>
      <c r="IO209" s="19"/>
      <c r="IP209" s="19"/>
    </row>
    <row r="210" customHeight="1" spans="1:25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M210" s="19"/>
      <c r="N210" s="19"/>
      <c r="IA210" s="19"/>
      <c r="IO210" s="19"/>
      <c r="IP210" s="19"/>
    </row>
    <row r="211" customHeight="1" spans="1:250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M211" s="19"/>
      <c r="N211" s="19"/>
      <c r="IA211" s="19"/>
      <c r="IO211" s="19"/>
      <c r="IP211" s="19"/>
    </row>
    <row r="212" customHeight="1" spans="1:250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M212" s="19"/>
      <c r="N212" s="19"/>
      <c r="IA212" s="19"/>
      <c r="IO212" s="19"/>
      <c r="IP212" s="19"/>
    </row>
    <row r="213" customHeight="1" spans="1:250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M213" s="19"/>
      <c r="N213" s="19"/>
      <c r="IA213" s="19"/>
      <c r="IO213" s="19"/>
      <c r="IP213" s="19"/>
    </row>
    <row r="214" customHeight="1" spans="1:250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M214" s="19"/>
      <c r="N214" s="19"/>
      <c r="IA214" s="19"/>
      <c r="IO214" s="19"/>
      <c r="IP214" s="19"/>
    </row>
    <row r="215" customHeight="1" spans="1:250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M215" s="19"/>
      <c r="N215" s="19"/>
      <c r="IA215" s="19"/>
      <c r="IO215" s="19"/>
      <c r="IP215" s="19"/>
    </row>
    <row r="216" customHeight="1" spans="1:250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M216" s="19"/>
      <c r="N216" s="19"/>
      <c r="IA216" s="19"/>
      <c r="IO216" s="19"/>
      <c r="IP216" s="19"/>
    </row>
    <row r="217" customHeight="1" spans="1:250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M217" s="19"/>
      <c r="N217" s="19"/>
      <c r="IA217" s="19"/>
      <c r="IO217" s="19"/>
      <c r="IP217" s="19"/>
    </row>
    <row r="218" customHeight="1" spans="1:250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M218" s="19"/>
      <c r="N218" s="19"/>
      <c r="IA218" s="19"/>
      <c r="IO218" s="19"/>
      <c r="IP218" s="19"/>
    </row>
    <row r="219" customHeight="1" spans="1:250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M219" s="19"/>
      <c r="N219" s="19"/>
      <c r="IA219" s="19"/>
      <c r="IO219" s="19"/>
      <c r="IP219" s="19"/>
    </row>
    <row r="220" customHeight="1" spans="1:25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M220" s="19"/>
      <c r="N220" s="19"/>
      <c r="IA220" s="19"/>
      <c r="IO220" s="19"/>
      <c r="IP220" s="19"/>
    </row>
    <row r="221" customHeight="1" spans="1:250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M221" s="19"/>
      <c r="N221" s="19"/>
      <c r="IA221" s="19"/>
      <c r="IO221" s="19"/>
      <c r="IP221" s="19"/>
    </row>
    <row r="222" customHeight="1" spans="1:250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M222" s="19"/>
      <c r="N222" s="19"/>
      <c r="IA222" s="19"/>
      <c r="IO222" s="19"/>
      <c r="IP222" s="19"/>
    </row>
    <row r="223" customHeight="1" spans="1:250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M223" s="19"/>
      <c r="N223" s="19"/>
      <c r="IA223" s="19"/>
      <c r="IO223" s="19"/>
      <c r="IP223" s="19"/>
    </row>
    <row r="224" customHeight="1" spans="1:250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M224" s="19"/>
      <c r="N224" s="19"/>
      <c r="IA224" s="19"/>
      <c r="IO224" s="19"/>
      <c r="IP224" s="19"/>
    </row>
    <row r="225" customHeight="1" spans="1:250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M225" s="19"/>
      <c r="N225" s="19"/>
      <c r="IA225" s="19"/>
      <c r="IO225" s="19"/>
      <c r="IP225" s="19"/>
    </row>
    <row r="226" customHeight="1" spans="1:250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M226" s="19"/>
      <c r="N226" s="19"/>
      <c r="IA226" s="19"/>
      <c r="IO226" s="19"/>
      <c r="IP226" s="19"/>
    </row>
    <row r="227" customHeight="1" spans="1:250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M227" s="19"/>
      <c r="N227" s="19"/>
      <c r="IA227" s="19"/>
      <c r="IO227" s="19"/>
      <c r="IP227" s="19"/>
    </row>
    <row r="228" customHeight="1" spans="1:250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M228" s="19"/>
      <c r="N228" s="19"/>
      <c r="IA228" s="19"/>
      <c r="IO228" s="19"/>
      <c r="IP228" s="19"/>
    </row>
    <row r="229" customHeight="1" spans="1:250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M229" s="19"/>
      <c r="N229" s="19"/>
      <c r="IA229" s="19"/>
      <c r="IO229" s="19"/>
      <c r="IP229" s="19"/>
    </row>
    <row r="230" customHeight="1" spans="1:25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M230" s="19"/>
      <c r="N230" s="19"/>
      <c r="IA230" s="19"/>
      <c r="IO230" s="19"/>
      <c r="IP230" s="19"/>
    </row>
    <row r="231" customHeight="1" spans="1:250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M231" s="19"/>
      <c r="N231" s="19"/>
      <c r="IA231" s="19"/>
      <c r="IO231" s="19"/>
      <c r="IP231" s="19"/>
    </row>
    <row r="232" customHeight="1" spans="1:250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M232" s="19"/>
      <c r="N232" s="19"/>
      <c r="IA232" s="19"/>
      <c r="IO232" s="19"/>
      <c r="IP232" s="19"/>
    </row>
    <row r="233" customHeight="1" spans="1:250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M233" s="19"/>
      <c r="N233" s="19"/>
      <c r="IA233" s="19"/>
      <c r="IO233" s="19"/>
      <c r="IP233" s="19"/>
    </row>
    <row r="234" customHeight="1" spans="1:250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M234" s="19"/>
      <c r="N234" s="19"/>
      <c r="IA234" s="19"/>
      <c r="IO234" s="19"/>
      <c r="IP234" s="19"/>
    </row>
    <row r="235" customHeight="1" spans="1:250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M235" s="19"/>
      <c r="N235" s="19"/>
      <c r="IA235" s="19"/>
      <c r="IO235" s="19"/>
      <c r="IP235" s="19"/>
    </row>
    <row r="236" customHeight="1" spans="1:250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M236" s="19"/>
      <c r="N236" s="19"/>
      <c r="IA236" s="19"/>
      <c r="IO236" s="19"/>
      <c r="IP236" s="19"/>
    </row>
    <row r="237" customHeight="1" spans="1:250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M237" s="19"/>
      <c r="N237" s="19"/>
      <c r="IA237" s="19"/>
      <c r="IO237" s="19"/>
      <c r="IP237" s="19"/>
    </row>
    <row r="238" customHeight="1" spans="1:250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M238" s="19"/>
      <c r="N238" s="19"/>
      <c r="IA238" s="19"/>
      <c r="IO238" s="19"/>
      <c r="IP238" s="19"/>
    </row>
    <row r="239" customHeight="1" spans="1:250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M239" s="19"/>
      <c r="N239" s="19"/>
      <c r="IA239" s="19"/>
      <c r="IO239" s="19"/>
      <c r="IP239" s="19"/>
    </row>
    <row r="240" customHeight="1" spans="1:25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M240" s="19"/>
      <c r="N240" s="19"/>
      <c r="IA240" s="19"/>
      <c r="IO240" s="19"/>
      <c r="IP240" s="19"/>
    </row>
    <row r="241" customHeight="1" spans="1:250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M241" s="19"/>
      <c r="N241" s="19"/>
      <c r="IA241" s="19"/>
      <c r="IO241" s="19"/>
      <c r="IP241" s="19"/>
    </row>
    <row r="242" customHeight="1" spans="1:250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M242" s="19"/>
      <c r="N242" s="19"/>
      <c r="IA242" s="19"/>
      <c r="IO242" s="19"/>
      <c r="IP242" s="19"/>
    </row>
    <row r="243" customHeight="1" spans="1:250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M243" s="19"/>
      <c r="N243" s="19"/>
      <c r="IA243" s="19"/>
      <c r="IO243" s="19"/>
      <c r="IP243" s="19"/>
    </row>
    <row r="244" customHeight="1" spans="1:250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M244" s="19"/>
      <c r="N244" s="19"/>
      <c r="IA244" s="19"/>
      <c r="IO244" s="19"/>
      <c r="IP244" s="19"/>
    </row>
    <row r="245" customHeight="1" spans="1:250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M245" s="19"/>
      <c r="N245" s="19"/>
      <c r="IA245" s="19"/>
      <c r="IO245" s="19"/>
      <c r="IP245" s="19"/>
    </row>
    <row r="246" customHeight="1" spans="1:250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M246" s="19"/>
      <c r="N246" s="19"/>
      <c r="IA246" s="19"/>
      <c r="IO246" s="19"/>
      <c r="IP246" s="19"/>
    </row>
    <row r="247" customHeight="1" spans="1:250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M247" s="19"/>
      <c r="N247" s="19"/>
      <c r="IA247" s="19"/>
      <c r="IO247" s="19"/>
      <c r="IP247" s="19"/>
    </row>
    <row r="248" customHeight="1" spans="1:250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M248" s="19"/>
      <c r="N248" s="19"/>
      <c r="IA248" s="19"/>
      <c r="IO248" s="19"/>
      <c r="IP248" s="19"/>
    </row>
    <row r="249" customHeight="1" spans="1:250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M249" s="19"/>
      <c r="N249" s="19"/>
      <c r="IA249" s="19"/>
      <c r="IO249" s="19"/>
      <c r="IP249" s="19"/>
    </row>
    <row r="250" customHeight="1" spans="1: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M250" s="19"/>
      <c r="N250" s="19"/>
      <c r="IA250" s="19"/>
      <c r="IO250" s="19"/>
      <c r="IP250" s="19"/>
    </row>
    <row r="251" customHeight="1" spans="1:250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M251" s="19"/>
      <c r="N251" s="19"/>
      <c r="IA251" s="19"/>
      <c r="IO251" s="19"/>
      <c r="IP251" s="19"/>
    </row>
    <row r="252" customHeight="1" spans="1:250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M252" s="19"/>
      <c r="N252" s="19"/>
      <c r="IA252" s="19"/>
      <c r="IO252" s="19"/>
      <c r="IP252" s="19"/>
    </row>
    <row r="253" customHeight="1" spans="1:250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M253" s="19"/>
      <c r="N253" s="19"/>
      <c r="IA253" s="19"/>
      <c r="IO253" s="19"/>
      <c r="IP253" s="19"/>
    </row>
    <row r="254" customHeight="1" spans="1:250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M254" s="19"/>
      <c r="N254" s="19"/>
      <c r="IA254" s="19"/>
      <c r="IO254" s="19"/>
      <c r="IP254" s="19"/>
    </row>
    <row r="255" customHeight="1" spans="1:250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M255" s="19"/>
      <c r="N255" s="19"/>
      <c r="IA255" s="19"/>
      <c r="IO255" s="19"/>
      <c r="IP255" s="19"/>
    </row>
    <row r="256" customHeight="1" spans="1:250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M256" s="19"/>
      <c r="N256" s="19"/>
      <c r="IA256" s="19"/>
      <c r="IO256" s="19"/>
      <c r="IP256" s="19"/>
    </row>
    <row r="257" customHeight="1" spans="1:250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M257" s="19"/>
      <c r="N257" s="19"/>
      <c r="IA257" s="19"/>
      <c r="IO257" s="19"/>
      <c r="IP257" s="19"/>
    </row>
    <row r="258" customHeight="1" spans="1:250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M258" s="19"/>
      <c r="N258" s="19"/>
      <c r="IA258" s="19"/>
      <c r="IO258" s="19"/>
      <c r="IP258" s="19"/>
    </row>
    <row r="259" customHeight="1" spans="1:250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M259" s="19"/>
      <c r="N259" s="19"/>
      <c r="IA259" s="19"/>
      <c r="IO259" s="19"/>
      <c r="IP259" s="19"/>
    </row>
    <row r="260" customHeight="1" spans="1:25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M260" s="19"/>
      <c r="N260" s="19"/>
      <c r="IA260" s="19"/>
      <c r="IO260" s="19"/>
      <c r="IP260" s="19"/>
    </row>
    <row r="261" customHeight="1" spans="1:250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M261" s="19"/>
      <c r="N261" s="19"/>
      <c r="IA261" s="19"/>
      <c r="IO261" s="19"/>
      <c r="IP261" s="19"/>
    </row>
    <row r="262" customHeight="1" spans="1:250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M262" s="19"/>
      <c r="N262" s="19"/>
      <c r="IA262" s="19"/>
      <c r="IO262" s="19"/>
      <c r="IP262" s="19"/>
    </row>
    <row r="263" customHeight="1" spans="1:250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M263" s="19"/>
      <c r="N263" s="19"/>
      <c r="IA263" s="19"/>
      <c r="IO263" s="19"/>
      <c r="IP263" s="19"/>
    </row>
    <row r="264" customHeight="1" spans="1:250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M264" s="19"/>
      <c r="N264" s="19"/>
      <c r="IA264" s="19"/>
      <c r="IO264" s="19"/>
      <c r="IP264" s="19"/>
    </row>
    <row r="265" customHeight="1" spans="1:250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M265" s="19"/>
      <c r="N265" s="19"/>
      <c r="IA265" s="19"/>
      <c r="IO265" s="19"/>
      <c r="IP265" s="19"/>
    </row>
    <row r="266" customHeight="1" spans="1:250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M266" s="19"/>
      <c r="N266" s="19"/>
      <c r="IA266" s="19"/>
      <c r="IO266" s="19"/>
      <c r="IP266" s="19"/>
    </row>
    <row r="267" customHeight="1" spans="1:250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M267" s="19"/>
      <c r="N267" s="19"/>
      <c r="IA267" s="19"/>
      <c r="IO267" s="19"/>
      <c r="IP267" s="19"/>
    </row>
    <row r="268" customHeight="1" spans="1:250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M268" s="19"/>
      <c r="N268" s="19"/>
      <c r="IA268" s="19"/>
      <c r="IO268" s="19"/>
      <c r="IP268" s="19"/>
    </row>
    <row r="269" customHeight="1" spans="1:250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M269" s="19"/>
      <c r="N269" s="19"/>
      <c r="IA269" s="19"/>
      <c r="IO269" s="19"/>
      <c r="IP269" s="19"/>
    </row>
    <row r="270" customHeight="1" spans="1:25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M270" s="19"/>
      <c r="N270" s="19"/>
      <c r="IA270" s="19"/>
      <c r="IO270" s="19"/>
      <c r="IP270" s="19"/>
    </row>
    <row r="271" customHeight="1" spans="1:250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M271" s="19"/>
      <c r="N271" s="19"/>
      <c r="IA271" s="19"/>
      <c r="IO271" s="19"/>
      <c r="IP271" s="19"/>
    </row>
    <row r="272" customHeight="1" spans="1:250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M272" s="19"/>
      <c r="N272" s="19"/>
      <c r="IA272" s="19"/>
      <c r="IO272" s="19"/>
      <c r="IP272" s="19"/>
    </row>
    <row r="273" customHeight="1" spans="1:250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M273" s="19"/>
      <c r="N273" s="19"/>
      <c r="IA273" s="19"/>
      <c r="IO273" s="19"/>
      <c r="IP273" s="19"/>
    </row>
    <row r="274" customHeight="1" spans="1:250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M274" s="19"/>
      <c r="N274" s="19"/>
      <c r="IA274" s="19"/>
      <c r="IO274" s="19"/>
      <c r="IP274" s="19"/>
    </row>
    <row r="275" customHeight="1" spans="1:250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M275" s="19"/>
      <c r="N275" s="19"/>
      <c r="IA275" s="19"/>
      <c r="IO275" s="19"/>
      <c r="IP275" s="19"/>
    </row>
    <row r="276" customHeight="1" spans="1:250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M276" s="19"/>
      <c r="N276" s="19"/>
      <c r="IA276" s="19"/>
      <c r="IO276" s="19"/>
      <c r="IP276" s="19"/>
    </row>
    <row r="277" customHeight="1" spans="1:250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M277" s="19"/>
      <c r="N277" s="19"/>
      <c r="IA277" s="19"/>
      <c r="IO277" s="19"/>
      <c r="IP277" s="19"/>
    </row>
    <row r="278" customHeight="1" spans="1:250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M278" s="19"/>
      <c r="N278" s="19"/>
      <c r="IA278" s="19"/>
      <c r="IO278" s="19"/>
      <c r="IP278" s="19"/>
    </row>
    <row r="279" customHeight="1" spans="1:250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M279" s="19"/>
      <c r="N279" s="19"/>
      <c r="IA279" s="19"/>
      <c r="IO279" s="19"/>
      <c r="IP279" s="19"/>
    </row>
    <row r="280" customHeight="1" spans="1:25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M280" s="19"/>
      <c r="N280" s="19"/>
      <c r="IA280" s="19"/>
      <c r="IO280" s="19"/>
      <c r="IP280" s="19"/>
    </row>
    <row r="281" customHeight="1" spans="1:250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M281" s="19"/>
      <c r="N281" s="19"/>
      <c r="IA281" s="19"/>
      <c r="IO281" s="19"/>
      <c r="IP281" s="19"/>
    </row>
    <row r="282" customHeight="1" spans="1:250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M282" s="19"/>
      <c r="N282" s="19"/>
      <c r="IA282" s="19"/>
      <c r="IO282" s="19"/>
      <c r="IP282" s="19"/>
    </row>
    <row r="283" customHeight="1" spans="1:250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M283" s="19"/>
      <c r="N283" s="19"/>
      <c r="IA283" s="19"/>
      <c r="IO283" s="19"/>
      <c r="IP283" s="19"/>
    </row>
    <row r="284" customHeight="1" spans="1:250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M284" s="19"/>
      <c r="N284" s="19"/>
      <c r="IA284" s="19"/>
      <c r="IO284" s="19"/>
      <c r="IP284" s="19"/>
    </row>
    <row r="285" customHeight="1" spans="1:250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M285" s="19"/>
      <c r="N285" s="19"/>
      <c r="IA285" s="19"/>
      <c r="IO285" s="19"/>
      <c r="IP285" s="19"/>
    </row>
    <row r="286" customHeight="1" spans="1:250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M286" s="19"/>
      <c r="N286" s="19"/>
      <c r="IA286" s="19"/>
      <c r="IO286" s="19"/>
      <c r="IP286" s="19"/>
    </row>
    <row r="287" customHeight="1" spans="1:250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M287" s="19"/>
      <c r="N287" s="19"/>
      <c r="IA287" s="19"/>
      <c r="IO287" s="19"/>
      <c r="IP287" s="19"/>
    </row>
    <row r="288" customHeight="1" spans="1:250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M288" s="19"/>
      <c r="N288" s="19"/>
      <c r="IA288" s="19"/>
      <c r="IO288" s="19"/>
      <c r="IP288" s="19"/>
    </row>
    <row r="289" customHeight="1" spans="1:250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M289" s="19"/>
      <c r="N289" s="19"/>
      <c r="IA289" s="19"/>
      <c r="IO289" s="19"/>
      <c r="IP289" s="19"/>
    </row>
    <row r="290" customHeight="1" spans="1:25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M290" s="19"/>
      <c r="N290" s="19"/>
      <c r="IA290" s="19"/>
      <c r="IO290" s="19"/>
      <c r="IP290" s="19"/>
    </row>
    <row r="291" customHeight="1" spans="1:250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M291" s="19"/>
      <c r="N291" s="19"/>
      <c r="IA291" s="19"/>
      <c r="IO291" s="19"/>
      <c r="IP291" s="19"/>
    </row>
    <row r="292" customHeight="1" spans="1:250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M292" s="19"/>
      <c r="N292" s="19"/>
      <c r="IA292" s="19"/>
      <c r="IO292" s="19"/>
      <c r="IP292" s="19"/>
    </row>
    <row r="293" customHeight="1" spans="1:250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M293" s="19"/>
      <c r="N293" s="19"/>
      <c r="IA293" s="19"/>
      <c r="IO293" s="19"/>
      <c r="IP293" s="19"/>
    </row>
    <row r="294" customHeight="1" spans="1:250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M294" s="19"/>
      <c r="N294" s="19"/>
      <c r="IA294" s="19"/>
      <c r="IO294" s="19"/>
      <c r="IP294" s="19"/>
    </row>
    <row r="295" customHeight="1" spans="1:250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M295" s="19"/>
      <c r="N295" s="19"/>
      <c r="IA295" s="19"/>
      <c r="IO295" s="19"/>
      <c r="IP295" s="19"/>
    </row>
    <row r="296" customHeight="1" spans="1:250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M296" s="19"/>
      <c r="N296" s="19"/>
      <c r="IA296" s="19"/>
      <c r="IO296" s="19"/>
      <c r="IP296" s="19"/>
    </row>
    <row r="297" customHeight="1" spans="1:250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M297" s="19"/>
      <c r="N297" s="19"/>
      <c r="IA297" s="19"/>
      <c r="IO297" s="19"/>
      <c r="IP297" s="19"/>
    </row>
    <row r="298" customHeight="1" spans="1:250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M298" s="19"/>
      <c r="N298" s="19"/>
      <c r="IA298" s="19"/>
      <c r="IO298" s="19"/>
      <c r="IP298" s="19"/>
    </row>
    <row r="299" customHeight="1" spans="1:250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M299" s="19"/>
      <c r="N299" s="19"/>
      <c r="IA299" s="19"/>
      <c r="IO299" s="19"/>
      <c r="IP299" s="19"/>
    </row>
    <row r="300" customHeight="1" spans="1:25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M300" s="19"/>
      <c r="N300" s="19"/>
      <c r="IA300" s="19"/>
      <c r="IO300" s="19"/>
      <c r="IP300" s="19"/>
    </row>
    <row r="301" customHeight="1" spans="1:250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M301" s="19"/>
      <c r="N301" s="19"/>
      <c r="IA301" s="19"/>
      <c r="IO301" s="19"/>
      <c r="IP301" s="19"/>
    </row>
    <row r="302" customHeight="1" spans="1:250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M302" s="19"/>
      <c r="N302" s="19"/>
      <c r="IA302" s="19"/>
      <c r="IO302" s="19"/>
      <c r="IP302" s="19"/>
    </row>
    <row r="303" customHeight="1" spans="1:250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M303" s="19"/>
      <c r="N303" s="19"/>
      <c r="IA303" s="19"/>
      <c r="IO303" s="19"/>
      <c r="IP303" s="19"/>
    </row>
    <row r="304" customHeight="1" spans="1:250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M304" s="19"/>
      <c r="N304" s="19"/>
      <c r="IA304" s="19"/>
      <c r="IO304" s="19"/>
      <c r="IP304" s="19"/>
    </row>
    <row r="305" customHeight="1" spans="1:250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M305" s="19"/>
      <c r="N305" s="19"/>
      <c r="IA305" s="19"/>
      <c r="IO305" s="19"/>
      <c r="IP305" s="19"/>
    </row>
    <row r="306" customHeight="1" spans="1:250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M306" s="19"/>
      <c r="N306" s="19"/>
      <c r="IA306" s="19"/>
      <c r="IO306" s="19"/>
      <c r="IP306" s="19"/>
    </row>
    <row r="307" customHeight="1" spans="1:250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M307" s="19"/>
      <c r="N307" s="19"/>
      <c r="IA307" s="19"/>
      <c r="IO307" s="19"/>
      <c r="IP307" s="19"/>
    </row>
    <row r="308" customHeight="1" spans="1:250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M308" s="19"/>
      <c r="N308" s="19"/>
      <c r="IA308" s="19"/>
      <c r="IO308" s="19"/>
      <c r="IP308" s="19"/>
    </row>
    <row r="309" customHeight="1" spans="1:250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M309" s="19"/>
      <c r="N309" s="19"/>
      <c r="IA309" s="19"/>
      <c r="IO309" s="19"/>
      <c r="IP309" s="19"/>
    </row>
    <row r="310" customHeight="1" spans="1:25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M310" s="19"/>
      <c r="N310" s="19"/>
      <c r="IA310" s="19"/>
      <c r="IO310" s="19"/>
      <c r="IP310" s="19"/>
    </row>
    <row r="311" customHeight="1" spans="1:250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M311" s="19"/>
      <c r="N311" s="19"/>
      <c r="IA311" s="19"/>
      <c r="IO311" s="19"/>
      <c r="IP311" s="19"/>
    </row>
    <row r="312" customHeight="1" spans="1:250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M312" s="19"/>
      <c r="N312" s="19"/>
      <c r="IA312" s="19"/>
      <c r="IO312" s="19"/>
      <c r="IP312" s="19"/>
    </row>
    <row r="313" customHeight="1" spans="1:250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M313" s="19"/>
      <c r="N313" s="19"/>
      <c r="IA313" s="19"/>
      <c r="IO313" s="19"/>
      <c r="IP313" s="19"/>
    </row>
    <row r="314" customHeight="1" spans="1:250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M314" s="19"/>
      <c r="N314" s="19"/>
      <c r="IA314" s="19"/>
      <c r="IO314" s="19"/>
      <c r="IP314" s="19"/>
    </row>
    <row r="315" customHeight="1" spans="1:250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M315" s="19"/>
      <c r="N315" s="19"/>
      <c r="IA315" s="19"/>
      <c r="IO315" s="19"/>
      <c r="IP315" s="19"/>
    </row>
    <row r="316" customHeight="1" spans="1:250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M316" s="19"/>
      <c r="N316" s="19"/>
      <c r="IA316" s="19"/>
      <c r="IO316" s="19"/>
      <c r="IP316" s="19"/>
    </row>
    <row r="317" customHeight="1" spans="1:250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M317" s="19"/>
      <c r="N317" s="19"/>
      <c r="IA317" s="19"/>
      <c r="IO317" s="19"/>
      <c r="IP317" s="19"/>
    </row>
    <row r="321" customHeight="1" spans="1:250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M321" s="19"/>
      <c r="N321" s="19"/>
      <c r="IA321" s="19"/>
      <c r="IO321" s="19"/>
      <c r="IP321" s="19"/>
    </row>
    <row r="322" customHeight="1" spans="1:250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M322" s="19"/>
      <c r="N322" s="19"/>
      <c r="IA322" s="19"/>
      <c r="IO322" s="19"/>
      <c r="IP322" s="19"/>
    </row>
    <row r="323" customHeight="1" spans="1:250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M323" s="19"/>
      <c r="N323" s="19"/>
      <c r="IA323" s="19"/>
      <c r="IO323" s="19"/>
      <c r="IP323" s="19"/>
    </row>
    <row r="324" customHeight="1" spans="1:250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M324" s="19"/>
      <c r="N324" s="19"/>
      <c r="IA324" s="19"/>
      <c r="IO324" s="19"/>
      <c r="IP324" s="19"/>
    </row>
    <row r="325" customHeight="1" spans="1:250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M325" s="19"/>
      <c r="N325" s="19"/>
      <c r="IA325" s="19"/>
      <c r="IO325" s="19"/>
      <c r="IP325" s="19"/>
    </row>
    <row r="326" customHeight="1" spans="1:250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M326" s="19"/>
      <c r="N326" s="19"/>
      <c r="IA326" s="19"/>
      <c r="IO326" s="19"/>
      <c r="IP326" s="19"/>
    </row>
    <row r="327" customHeight="1" spans="1:250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M327" s="19"/>
      <c r="N327" s="19"/>
      <c r="IA327" s="19"/>
      <c r="IO327" s="19"/>
      <c r="IP327" s="19"/>
    </row>
    <row r="328" customHeight="1" spans="1:250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M328" s="19"/>
      <c r="N328" s="19"/>
      <c r="IA328" s="19"/>
      <c r="IO328" s="19"/>
      <c r="IP328" s="19"/>
    </row>
    <row r="329" customHeight="1" spans="1:250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M329" s="19"/>
      <c r="N329" s="19"/>
      <c r="IA329" s="19"/>
      <c r="IO329" s="19"/>
      <c r="IP329" s="19"/>
    </row>
    <row r="330" customHeight="1" spans="1:25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M330" s="19"/>
      <c r="N330" s="19"/>
      <c r="IA330" s="19"/>
      <c r="IO330" s="19"/>
      <c r="IP330" s="19"/>
    </row>
    <row r="331" customHeight="1" spans="1:250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M331" s="19"/>
      <c r="N331" s="19"/>
      <c r="IA331" s="19"/>
      <c r="IO331" s="19"/>
      <c r="IP331" s="19"/>
    </row>
    <row r="332" customHeight="1" spans="1:250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M332" s="19"/>
      <c r="N332" s="19"/>
      <c r="IA332" s="19"/>
      <c r="IO332" s="19"/>
      <c r="IP332" s="19"/>
    </row>
    <row r="333" customHeight="1" spans="1:250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M333" s="19"/>
      <c r="N333" s="19"/>
      <c r="IA333" s="19"/>
      <c r="IO333" s="19"/>
      <c r="IP333" s="19"/>
    </row>
    <row r="334" customHeight="1" spans="1:250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M334" s="19"/>
      <c r="N334" s="19"/>
      <c r="IA334" s="19"/>
      <c r="IO334" s="19"/>
      <c r="IP334" s="19"/>
    </row>
    <row r="335" customHeight="1" spans="1:250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M335" s="19"/>
      <c r="N335" s="19"/>
      <c r="IA335" s="19"/>
      <c r="IO335" s="19"/>
      <c r="IP335" s="19"/>
    </row>
    <row r="336" customHeight="1" spans="1:250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M336" s="19"/>
      <c r="N336" s="19"/>
      <c r="IA336" s="19"/>
      <c r="IO336" s="19"/>
      <c r="IP336" s="19"/>
    </row>
    <row r="337" customHeight="1" spans="1:250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M337" s="19"/>
      <c r="N337" s="19"/>
      <c r="IA337" s="19"/>
      <c r="IO337" s="19"/>
      <c r="IP337" s="19"/>
    </row>
    <row r="338" customHeight="1" spans="1:250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M338" s="19"/>
      <c r="N338" s="19"/>
      <c r="IA338" s="19"/>
      <c r="IO338" s="19"/>
      <c r="IP338" s="19"/>
    </row>
    <row r="339" customHeight="1" spans="1:250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M339" s="19"/>
      <c r="N339" s="19"/>
      <c r="IA339" s="19"/>
      <c r="IO339" s="19"/>
      <c r="IP339" s="19"/>
    </row>
    <row r="340" customHeight="1" spans="1:25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M340" s="19"/>
      <c r="N340" s="19"/>
      <c r="IA340" s="19"/>
      <c r="IO340" s="19"/>
      <c r="IP340" s="19"/>
    </row>
    <row r="341" customHeight="1" spans="1:250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M341" s="19"/>
      <c r="N341" s="19"/>
      <c r="IA341" s="19"/>
      <c r="IO341" s="19"/>
      <c r="IP341" s="19"/>
    </row>
    <row r="342" customHeight="1" spans="1:250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M342" s="19"/>
      <c r="N342" s="19"/>
      <c r="IA342" s="19"/>
      <c r="IO342" s="19"/>
      <c r="IP342" s="19"/>
    </row>
    <row r="343" customHeight="1" spans="1:250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M343" s="19"/>
      <c r="N343" s="19"/>
      <c r="IA343" s="19"/>
      <c r="IO343" s="19"/>
      <c r="IP343" s="19"/>
    </row>
    <row r="344" customHeight="1" spans="1:250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M344" s="19"/>
      <c r="N344" s="19"/>
      <c r="IA344" s="19"/>
      <c r="IO344" s="19"/>
      <c r="IP344" s="19"/>
    </row>
    <row r="345" customHeight="1" spans="1:250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M345" s="19"/>
      <c r="N345" s="19"/>
      <c r="IA345" s="19"/>
      <c r="IO345" s="19"/>
      <c r="IP345" s="19"/>
    </row>
    <row r="346" customHeight="1" spans="1:250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M346" s="19"/>
      <c r="N346" s="19"/>
      <c r="IA346" s="19"/>
      <c r="IO346" s="19"/>
      <c r="IP346" s="19"/>
    </row>
    <row r="347" customHeight="1" spans="1:250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M347" s="19"/>
      <c r="N347" s="19"/>
      <c r="IA347" s="19"/>
      <c r="IO347" s="19"/>
      <c r="IP347" s="19"/>
    </row>
    <row r="348" customHeight="1" spans="1:250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M348" s="19"/>
      <c r="N348" s="19"/>
      <c r="IA348" s="19"/>
      <c r="IO348" s="19"/>
      <c r="IP348" s="19"/>
    </row>
    <row r="349" customHeight="1" spans="1:250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M349" s="19"/>
      <c r="N349" s="19"/>
      <c r="IA349" s="19"/>
      <c r="IO349" s="19"/>
      <c r="IP349" s="19"/>
    </row>
    <row r="350" customHeight="1" spans="1:2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M350" s="19"/>
      <c r="N350" s="19"/>
      <c r="IA350" s="19"/>
      <c r="IO350" s="19"/>
      <c r="IP350" s="19"/>
    </row>
    <row r="351" customHeight="1" spans="1:250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M351" s="19"/>
      <c r="N351" s="19"/>
      <c r="IA351" s="19"/>
      <c r="IO351" s="19"/>
      <c r="IP351" s="19"/>
    </row>
    <row r="352" customHeight="1" spans="1:250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M352" s="19"/>
      <c r="N352" s="19"/>
      <c r="IA352" s="19"/>
      <c r="IO352" s="19"/>
      <c r="IP352" s="19"/>
    </row>
    <row r="353" customHeight="1" spans="1:250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M353" s="19"/>
      <c r="N353" s="19"/>
      <c r="IA353" s="19"/>
      <c r="IO353" s="19"/>
      <c r="IP353" s="19"/>
    </row>
    <row r="354" customHeight="1" spans="1:250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M354" s="19"/>
      <c r="N354" s="19"/>
      <c r="IA354" s="19"/>
      <c r="IO354" s="19"/>
      <c r="IP354" s="19"/>
    </row>
    <row r="355" customHeight="1" spans="1:250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M355" s="19"/>
      <c r="N355" s="19"/>
      <c r="IA355" s="19"/>
      <c r="IO355" s="19"/>
      <c r="IP355" s="19"/>
    </row>
    <row r="356" customHeight="1" spans="1:250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M356" s="19"/>
      <c r="N356" s="19"/>
      <c r="IA356" s="19"/>
      <c r="IO356" s="19"/>
      <c r="IP356" s="19"/>
    </row>
    <row r="357" customHeight="1" spans="1:250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M357" s="19"/>
      <c r="N357" s="19"/>
      <c r="IA357" s="19"/>
      <c r="IO357" s="19"/>
      <c r="IP357" s="19"/>
    </row>
    <row r="358" customHeight="1" spans="1:250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M358" s="19"/>
      <c r="N358" s="19"/>
      <c r="IA358" s="19"/>
      <c r="IO358" s="19"/>
      <c r="IP358" s="19"/>
    </row>
    <row r="359" customHeight="1" spans="1:250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M359" s="19"/>
      <c r="N359" s="19"/>
      <c r="IA359" s="19"/>
      <c r="IO359" s="19"/>
      <c r="IP359" s="19"/>
    </row>
    <row r="360" customHeight="1" spans="1:25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M360" s="19"/>
      <c r="N360" s="19"/>
      <c r="IA360" s="19"/>
      <c r="IO360" s="19"/>
      <c r="IP360" s="19"/>
    </row>
    <row r="361" customHeight="1" spans="1:250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M361" s="19"/>
      <c r="N361" s="19"/>
      <c r="IA361" s="19"/>
      <c r="IO361" s="19"/>
      <c r="IP361" s="19"/>
    </row>
    <row r="362" customHeight="1" spans="1:250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M362" s="19"/>
      <c r="N362" s="19"/>
      <c r="IA362" s="19"/>
      <c r="IO362" s="19"/>
      <c r="IP362" s="19"/>
    </row>
    <row r="363" customHeight="1" spans="1:250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M363" s="19"/>
      <c r="N363" s="19"/>
      <c r="IA363" s="19"/>
      <c r="IO363" s="19"/>
      <c r="IP363" s="19"/>
    </row>
    <row r="364" customHeight="1" spans="1:250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M364" s="19"/>
      <c r="N364" s="19"/>
      <c r="IA364" s="19"/>
      <c r="IO364" s="19"/>
      <c r="IP364" s="19"/>
    </row>
    <row r="365" customHeight="1" spans="1:250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M365" s="19"/>
      <c r="N365" s="19"/>
      <c r="IA365" s="19"/>
      <c r="IO365" s="19"/>
      <c r="IP365" s="19"/>
    </row>
    <row r="366" customHeight="1" spans="1:250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M366" s="19"/>
      <c r="N366" s="19"/>
      <c r="IA366" s="19"/>
      <c r="IO366" s="19"/>
      <c r="IP366" s="19"/>
    </row>
    <row r="367" customHeight="1" spans="1:250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M367" s="19"/>
      <c r="N367" s="19"/>
      <c r="IA367" s="19"/>
      <c r="IO367" s="19"/>
      <c r="IP367" s="19"/>
    </row>
    <row r="368" customHeight="1" spans="1:250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M368" s="19"/>
      <c r="N368" s="19"/>
      <c r="IA368" s="19"/>
      <c r="IO368" s="19"/>
      <c r="IP368" s="19"/>
    </row>
    <row r="369" customHeight="1" spans="1:250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M369" s="19"/>
      <c r="N369" s="19"/>
      <c r="IA369" s="19"/>
      <c r="IO369" s="19"/>
      <c r="IP369" s="19"/>
    </row>
    <row r="370" customHeight="1" spans="1:25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M370" s="19"/>
      <c r="N370" s="19"/>
      <c r="IA370" s="19"/>
      <c r="IO370" s="19"/>
      <c r="IP370" s="19"/>
    </row>
    <row r="371" customHeight="1" spans="1:250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M371" s="19"/>
      <c r="N371" s="19"/>
      <c r="IA371" s="19"/>
      <c r="IO371" s="19"/>
      <c r="IP371" s="19"/>
    </row>
    <row r="372" customHeight="1" spans="1:250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M372" s="19"/>
      <c r="N372" s="19"/>
      <c r="IA372" s="19"/>
      <c r="IO372" s="19"/>
      <c r="IP372" s="19"/>
    </row>
    <row r="373" customHeight="1" spans="1:250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M373" s="19"/>
      <c r="N373" s="19"/>
      <c r="IA373" s="19"/>
      <c r="IO373" s="19"/>
      <c r="IP373" s="19"/>
    </row>
    <row r="374" customHeight="1" spans="1:250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M374" s="19"/>
      <c r="N374" s="19"/>
      <c r="IA374" s="19"/>
      <c r="IO374" s="19"/>
      <c r="IP374" s="19"/>
    </row>
    <row r="375" customHeight="1" spans="1:250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M375" s="19"/>
      <c r="N375" s="19"/>
      <c r="IA375" s="19"/>
      <c r="IO375" s="19"/>
      <c r="IP375" s="19"/>
    </row>
    <row r="376" customHeight="1" spans="1:250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M376" s="19"/>
      <c r="N376" s="19"/>
      <c r="IA376" s="19"/>
      <c r="IO376" s="19"/>
      <c r="IP376" s="19"/>
    </row>
    <row r="377" customHeight="1" spans="1:250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M377" s="19"/>
      <c r="N377" s="19"/>
      <c r="IA377" s="19"/>
      <c r="IO377" s="19"/>
      <c r="IP377" s="19"/>
    </row>
    <row r="378" customHeight="1" spans="1:250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M378" s="19"/>
      <c r="N378" s="19"/>
      <c r="IA378" s="19"/>
      <c r="IO378" s="19"/>
      <c r="IP378" s="19"/>
    </row>
    <row r="379" customHeight="1" spans="1:250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M379" s="19"/>
      <c r="N379" s="19"/>
      <c r="IA379" s="19"/>
      <c r="IO379" s="19"/>
      <c r="IP379" s="19"/>
    </row>
    <row r="380" customHeight="1" spans="1:25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M380" s="19"/>
      <c r="N380" s="19"/>
      <c r="IA380" s="19"/>
      <c r="IO380" s="19"/>
      <c r="IP380" s="19"/>
    </row>
    <row r="381" customHeight="1" spans="1:250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M381" s="19"/>
      <c r="N381" s="19"/>
      <c r="IA381" s="19"/>
      <c r="IO381" s="19"/>
      <c r="IP381" s="19"/>
    </row>
    <row r="382" customHeight="1" spans="1:250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M382" s="19"/>
      <c r="N382" s="19"/>
      <c r="IA382" s="19"/>
      <c r="IO382" s="19"/>
      <c r="IP382" s="19"/>
    </row>
    <row r="383" customHeight="1" spans="1:250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M383" s="19"/>
      <c r="N383" s="19"/>
      <c r="IA383" s="19"/>
      <c r="IO383" s="19"/>
      <c r="IP383" s="19"/>
    </row>
    <row r="384" customHeight="1" spans="1:250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M384" s="19"/>
      <c r="N384" s="19"/>
      <c r="IA384" s="19"/>
      <c r="IO384" s="19"/>
      <c r="IP384" s="19"/>
    </row>
    <row r="385" customHeight="1" spans="1:250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M385" s="19"/>
      <c r="N385" s="19"/>
      <c r="IA385" s="19"/>
      <c r="IO385" s="19"/>
      <c r="IP385" s="19"/>
    </row>
    <row r="386" customHeight="1" spans="1:250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M386" s="19"/>
      <c r="N386" s="19"/>
      <c r="IA386" s="19"/>
      <c r="IO386" s="19"/>
      <c r="IP386" s="19"/>
    </row>
    <row r="387" customHeight="1" spans="1:250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M387" s="19"/>
      <c r="N387" s="19"/>
      <c r="IA387" s="19"/>
      <c r="IO387" s="19"/>
      <c r="IP387" s="19"/>
    </row>
    <row r="388" customHeight="1" spans="1:250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M388" s="19"/>
      <c r="N388" s="19"/>
      <c r="IA388" s="19"/>
      <c r="IO388" s="19"/>
      <c r="IP388" s="19"/>
    </row>
    <row r="389" customHeight="1" spans="1:250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M389" s="19"/>
      <c r="N389" s="19"/>
      <c r="IA389" s="19"/>
      <c r="IO389" s="19"/>
      <c r="IP389" s="19"/>
    </row>
    <row r="390" customHeight="1" spans="1:25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M390" s="19"/>
      <c r="N390" s="19"/>
      <c r="IA390" s="19"/>
      <c r="IO390" s="19"/>
      <c r="IP390" s="19"/>
    </row>
    <row r="391" customHeight="1" spans="1:250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M391" s="19"/>
      <c r="N391" s="19"/>
      <c r="IA391" s="19"/>
      <c r="IO391" s="19"/>
      <c r="IP391" s="19"/>
    </row>
    <row r="392" customHeight="1" spans="1:250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M392" s="19"/>
      <c r="N392" s="19"/>
      <c r="IA392" s="19"/>
      <c r="IO392" s="19"/>
      <c r="IP392" s="19"/>
    </row>
    <row r="393" customHeight="1" spans="1:250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M393" s="19"/>
      <c r="N393" s="19"/>
      <c r="IA393" s="19"/>
      <c r="IO393" s="19"/>
      <c r="IP393" s="19"/>
    </row>
    <row r="394" customHeight="1" spans="1:250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M394" s="19"/>
      <c r="N394" s="19"/>
      <c r="IA394" s="19"/>
      <c r="IO394" s="19"/>
      <c r="IP394" s="19"/>
    </row>
    <row r="395" customHeight="1" spans="1:250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M395" s="19"/>
      <c r="N395" s="19"/>
      <c r="IA395" s="19"/>
      <c r="IO395" s="19"/>
      <c r="IP395" s="19"/>
    </row>
    <row r="396" customHeight="1" spans="1:250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M396" s="19"/>
      <c r="N396" s="19"/>
      <c r="IA396" s="19"/>
      <c r="IO396" s="19"/>
      <c r="IP396" s="19"/>
    </row>
    <row r="397" customHeight="1" spans="1:250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M397" s="19"/>
      <c r="N397" s="19"/>
      <c r="IA397" s="19"/>
      <c r="IO397" s="19"/>
      <c r="IP397" s="19"/>
    </row>
    <row r="398" customHeight="1" spans="1:250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M398" s="19"/>
      <c r="N398" s="19"/>
      <c r="IA398" s="19"/>
      <c r="IO398" s="19"/>
      <c r="IP398" s="19"/>
    </row>
    <row r="399" customHeight="1" spans="1:250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M399" s="19"/>
      <c r="N399" s="19"/>
      <c r="IA399" s="19"/>
      <c r="IO399" s="19"/>
      <c r="IP399" s="19"/>
    </row>
    <row r="400" customHeight="1" spans="1:25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M400" s="19"/>
      <c r="N400" s="19"/>
      <c r="IA400" s="19"/>
      <c r="IO400" s="19"/>
      <c r="IP400" s="19"/>
    </row>
    <row r="401" customHeight="1" spans="1:250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M401" s="19"/>
      <c r="N401" s="19"/>
      <c r="IA401" s="19"/>
      <c r="IO401" s="19"/>
      <c r="IP401" s="19"/>
    </row>
    <row r="402" customHeight="1" spans="1:250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M402" s="19"/>
      <c r="N402" s="19"/>
      <c r="IA402" s="19"/>
      <c r="IO402" s="19"/>
      <c r="IP402" s="19"/>
    </row>
    <row r="403" customHeight="1" spans="1:250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M403" s="19"/>
      <c r="N403" s="19"/>
      <c r="IA403" s="19"/>
      <c r="IO403" s="19"/>
      <c r="IP403" s="19"/>
    </row>
    <row r="404" customHeight="1" spans="1:250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M404" s="19"/>
      <c r="N404" s="19"/>
      <c r="IA404" s="19"/>
      <c r="IO404" s="19"/>
      <c r="IP404" s="19"/>
    </row>
    <row r="405" customHeight="1" spans="1:250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M405" s="19"/>
      <c r="N405" s="19"/>
      <c r="IA405" s="19"/>
      <c r="IO405" s="19"/>
      <c r="IP405" s="19"/>
    </row>
    <row r="406" customHeight="1" spans="1:250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M406" s="19"/>
      <c r="N406" s="19"/>
      <c r="IA406" s="19"/>
      <c r="IO406" s="19"/>
      <c r="IP406" s="19"/>
    </row>
    <row r="407" customHeight="1" spans="1:250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M407" s="19"/>
      <c r="N407" s="19"/>
      <c r="IA407" s="19"/>
      <c r="IO407" s="19"/>
      <c r="IP407" s="19"/>
    </row>
    <row r="408" customHeight="1" spans="1:250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M408" s="19"/>
      <c r="N408" s="19"/>
      <c r="IA408" s="19"/>
      <c r="IO408" s="19"/>
      <c r="IP408" s="19"/>
    </row>
    <row r="409" customHeight="1" spans="1:250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M409" s="19"/>
      <c r="N409" s="19"/>
      <c r="IA409" s="19"/>
      <c r="IO409" s="19"/>
      <c r="IP409" s="19"/>
    </row>
    <row r="410" customHeight="1" spans="1:25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M410" s="19"/>
      <c r="N410" s="19"/>
      <c r="IA410" s="19"/>
      <c r="IO410" s="19"/>
      <c r="IP410" s="19"/>
    </row>
    <row r="411" customHeight="1" spans="1:250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M411" s="19"/>
      <c r="N411" s="19"/>
      <c r="IA411" s="19"/>
      <c r="IO411" s="19"/>
      <c r="IP411" s="19"/>
    </row>
    <row r="412" customHeight="1" spans="1:250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M412" s="19"/>
      <c r="N412" s="19"/>
      <c r="IA412" s="19"/>
      <c r="IO412" s="19"/>
      <c r="IP412" s="19"/>
    </row>
    <row r="413" customHeight="1" spans="1:250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M413" s="19"/>
      <c r="N413" s="19"/>
      <c r="IA413" s="19"/>
      <c r="IO413" s="19"/>
      <c r="IP413" s="19"/>
    </row>
    <row r="414" customHeight="1" spans="1:250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M414" s="19"/>
      <c r="N414" s="19"/>
      <c r="IA414" s="19"/>
      <c r="IO414" s="19"/>
      <c r="IP414" s="19"/>
    </row>
    <row r="415" customHeight="1" spans="1:250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M415" s="19"/>
      <c r="N415" s="19"/>
      <c r="IA415" s="19"/>
      <c r="IO415" s="19"/>
      <c r="IP415" s="19"/>
    </row>
    <row r="416" customHeight="1" spans="1:250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M416" s="19"/>
      <c r="N416" s="19"/>
      <c r="IA416" s="19"/>
      <c r="IO416" s="19"/>
      <c r="IP416" s="19"/>
    </row>
    <row r="417" customHeight="1" spans="1:250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M417" s="19"/>
      <c r="N417" s="19"/>
      <c r="IA417" s="19"/>
      <c r="IO417" s="19"/>
      <c r="IP417" s="19"/>
    </row>
    <row r="418" customHeight="1" spans="1:250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M418" s="19"/>
      <c r="N418" s="19"/>
      <c r="IA418" s="19"/>
      <c r="IO418" s="19"/>
      <c r="IP418" s="19"/>
    </row>
    <row r="419" customHeight="1" spans="1:250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M419" s="19"/>
      <c r="N419" s="19"/>
      <c r="IA419" s="19"/>
      <c r="IO419" s="19"/>
      <c r="IP419" s="19"/>
    </row>
    <row r="420" customHeight="1" spans="1:25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M420" s="19"/>
      <c r="N420" s="19"/>
      <c r="IA420" s="19"/>
      <c r="IO420" s="19"/>
      <c r="IP420" s="19"/>
    </row>
    <row r="421" customHeight="1" spans="1:250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M421" s="19"/>
      <c r="N421" s="19"/>
      <c r="IA421" s="19"/>
      <c r="IO421" s="19"/>
      <c r="IP421" s="19"/>
    </row>
    <row r="422" customHeight="1" spans="1:250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M422" s="19"/>
      <c r="N422" s="19"/>
      <c r="IA422" s="19"/>
      <c r="IO422" s="19"/>
      <c r="IP422" s="19"/>
    </row>
    <row r="423" customHeight="1" spans="1:250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M423" s="19"/>
      <c r="N423" s="19"/>
      <c r="IA423" s="19"/>
      <c r="IO423" s="19"/>
      <c r="IP423" s="19"/>
    </row>
    <row r="424" customHeight="1" spans="1:250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M424" s="19"/>
      <c r="N424" s="19"/>
      <c r="IA424" s="19"/>
      <c r="IO424" s="19"/>
      <c r="IP424" s="19"/>
    </row>
    <row r="425" customHeight="1" spans="1:250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M425" s="19"/>
      <c r="N425" s="19"/>
      <c r="IA425" s="19"/>
      <c r="IO425" s="19"/>
      <c r="IP425" s="19"/>
    </row>
    <row r="426" customHeight="1" spans="1:250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M426" s="19"/>
      <c r="N426" s="19"/>
      <c r="IA426" s="19"/>
      <c r="IO426" s="19"/>
      <c r="IP426" s="19"/>
    </row>
    <row r="427" customHeight="1" spans="1:250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M427" s="19"/>
      <c r="N427" s="19"/>
      <c r="IA427" s="19"/>
      <c r="IO427" s="19"/>
      <c r="IP427" s="19"/>
    </row>
    <row r="428" customHeight="1" spans="1:250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M428" s="19"/>
      <c r="N428" s="19"/>
      <c r="IA428" s="19"/>
      <c r="IO428" s="19"/>
      <c r="IP428" s="19"/>
    </row>
    <row r="429" customHeight="1" spans="1:250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M429" s="19"/>
      <c r="N429" s="19"/>
      <c r="IA429" s="19"/>
      <c r="IO429" s="19"/>
      <c r="IP429" s="19"/>
    </row>
    <row r="430" customHeight="1" spans="1:25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M430" s="19"/>
      <c r="N430" s="19"/>
      <c r="IA430" s="19"/>
      <c r="IO430" s="19"/>
      <c r="IP430" s="19"/>
    </row>
    <row r="431" customHeight="1" spans="1:250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M431" s="19"/>
      <c r="N431" s="19"/>
      <c r="IA431" s="19"/>
      <c r="IO431" s="19"/>
      <c r="IP431" s="19"/>
    </row>
    <row r="432" customHeight="1" spans="1:250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M432" s="19"/>
      <c r="N432" s="19"/>
      <c r="IA432" s="19"/>
      <c r="IO432" s="19"/>
      <c r="IP432" s="19"/>
    </row>
    <row r="433" customHeight="1" spans="1:250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M433" s="19"/>
      <c r="N433" s="19"/>
      <c r="IA433" s="19"/>
      <c r="IO433" s="19"/>
      <c r="IP433" s="19"/>
    </row>
    <row r="434" customHeight="1" spans="1:250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M434" s="19"/>
      <c r="N434" s="19"/>
      <c r="IA434" s="19"/>
      <c r="IO434" s="19"/>
      <c r="IP434" s="19"/>
    </row>
    <row r="435" customHeight="1" spans="1:250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M435" s="19"/>
      <c r="N435" s="19"/>
      <c r="IA435" s="19"/>
      <c r="IO435" s="19"/>
      <c r="IP435" s="19"/>
    </row>
    <row r="436" customHeight="1" spans="1:250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M436" s="19"/>
      <c r="N436" s="19"/>
      <c r="IA436" s="19"/>
      <c r="IO436" s="19"/>
      <c r="IP436" s="19"/>
    </row>
  </sheetData>
  <sheetProtection formatColumns="0" formatRows="0" insertRows="0" insertColumns="0" insertHyperlinks="0" deleteColumns="0" deleteRows="0" sort="0" autoFilter="0" pivotTables="0"/>
  <mergeCells count="4">
    <mergeCell ref="T72:W72"/>
    <mergeCell ref="AE60:AE64"/>
    <mergeCell ref="AE65:AE69"/>
    <mergeCell ref="AE70:AE71"/>
  </mergeCells>
  <hyperlinks>
    <hyperlink ref="A2" location="'0-List'!A1" display="序号"/>
  </hyperlinks>
  <pageMargins left="1.14166666666667" right="0.156944444444444" top="0.590277777777778" bottom="0.196527777777778" header="0.314583333333333" footer="0.314583333333333"/>
  <pageSetup paperSize="8" scale="73" orientation="portrait" horizontalDpi="1200" verticalDpi="300"/>
  <headerFooter alignWithMargins="0">
    <oddHeader>&amp;L&amp;"Times New Roman,常规"&amp;F&amp;C&amp;"Times New Roman,常规"&amp;A&amp;R&amp;"Times New Roman,常规"&amp;D</oddHeader>
  </headerFooter>
  <rowBreaks count="1" manualBreakCount="1">
    <brk id="71" max="13" man="1"/>
  </rowBreaks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全国暖通、空调室外气象参数表《GB50736-2012》 </vt:lpstr>
      <vt:lpstr>1-室外设计气象参数</vt:lpstr>
      <vt:lpstr>2-室内房间参数</vt:lpstr>
      <vt:lpstr>3-洁净区(参数展示）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WPS_1715769418</cp:lastModifiedBy>
  <cp:revision>1</cp:revision>
  <dcterms:created xsi:type="dcterms:W3CDTF">2001-05-17T18:52:00Z</dcterms:created>
  <cp:lastPrinted>2016-01-12T07:30:00Z</cp:lastPrinted>
  <dcterms:modified xsi:type="dcterms:W3CDTF">2026-06-18T08:40:25Z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D57F00BAA88A409E98FFEC86F7E3F6C5_13</vt:lpwstr>
  </property>
  <property fmtid="{D5CDD505-2E9C-101B-9397-08002B2CF9AE}" pid="4" name="CalculationRule">
    <vt:i4>0</vt:i4>
  </property>
</Properties>
</file>